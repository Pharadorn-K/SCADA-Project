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unstarsuisse-my.sharepoint.com/personal/vatin_wiwatcharoenpong_th_sunstar_com/Documents/_Productivity-Automation/_SCADA/03.[[SCADA LATHE_DB]]/"/>
    </mc:Choice>
  </mc:AlternateContent>
  <xr:revisionPtr revIDLastSave="19" documentId="13_ncr:1_{6C7CD55F-B9FC-487B-88FA-A4A27B9C987B}" xr6:coauthVersionLast="47" xr6:coauthVersionMax="47" xr10:uidLastSave="{560EF1CA-31A8-4908-B4CD-A9241F9C2C80}"/>
  <bookViews>
    <workbookView xWindow="-120" yWindow="-120" windowWidth="29040" windowHeight="15720" tabRatio="750" activeTab="3" xr2:uid="{00000000-000D-0000-FFFF-FFFF00000000}"/>
  </bookViews>
  <sheets>
    <sheet name="Network diagram" sheetId="22" r:id="rId1"/>
    <sheet name="Interface device list" sheetId="13" r:id="rId2"/>
    <sheet name="ALARM CODE" sheetId="25" r:id="rId3"/>
    <sheet name="Sheet3" sheetId="27" r:id="rId4"/>
    <sheet name="Device of Use " sheetId="23" r:id="rId5"/>
    <sheet name="Sheet1" sheetId="24" r:id="rId6"/>
    <sheet name="Sheet2" sheetId="26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___________EOP7" localSheetId="1">#REF!</definedName>
    <definedName name="______________EOP7" localSheetId="0">#REF!</definedName>
    <definedName name="______________EOP7">#REF!</definedName>
    <definedName name="______________QA7" localSheetId="1">#REF!</definedName>
    <definedName name="______________QA7" localSheetId="0">#REF!</definedName>
    <definedName name="______________QA7">#REF!</definedName>
    <definedName name="______________QE7" localSheetId="1">#REF!</definedName>
    <definedName name="______________QE7" localSheetId="0">#REF!</definedName>
    <definedName name="______________QE7">#REF!</definedName>
    <definedName name="_____________EOP7" localSheetId="1">#REF!</definedName>
    <definedName name="_____________EOP7" localSheetId="0">#REF!</definedName>
    <definedName name="_____________EOP7">#REF!</definedName>
    <definedName name="_____________QA7" localSheetId="1">#REF!</definedName>
    <definedName name="_____________QA7" localSheetId="0">#REF!</definedName>
    <definedName name="_____________QA7">#REF!</definedName>
    <definedName name="_____________QE7" localSheetId="1">#REF!</definedName>
    <definedName name="_____________QE7" localSheetId="0">#REF!</definedName>
    <definedName name="_____________QE7">#REF!</definedName>
    <definedName name="____________EOP7" localSheetId="1">#REF!</definedName>
    <definedName name="____________EOP7" localSheetId="0">#REF!</definedName>
    <definedName name="____________EOP7">#REF!</definedName>
    <definedName name="____________QA7" localSheetId="1">#REF!</definedName>
    <definedName name="____________QA7" localSheetId="0">#REF!</definedName>
    <definedName name="____________QA7">#REF!</definedName>
    <definedName name="____________QE7" localSheetId="1">#REF!</definedName>
    <definedName name="____________QE7" localSheetId="0">#REF!</definedName>
    <definedName name="____________QE7">#REF!</definedName>
    <definedName name="___________EOP7" localSheetId="1">#REF!</definedName>
    <definedName name="___________EOP7" localSheetId="0">#REF!</definedName>
    <definedName name="___________EOP7">#REF!</definedName>
    <definedName name="___________QA7" localSheetId="1">#REF!</definedName>
    <definedName name="___________QA7" localSheetId="0">#REF!</definedName>
    <definedName name="___________QA7">#REF!</definedName>
    <definedName name="___________QE7" localSheetId="1">#REF!</definedName>
    <definedName name="___________QE7" localSheetId="0">#REF!</definedName>
    <definedName name="___________QE7">#REF!</definedName>
    <definedName name="__________EOP7" localSheetId="1">#REF!</definedName>
    <definedName name="__________EOP7" localSheetId="0">#REF!</definedName>
    <definedName name="__________EOP7">#REF!</definedName>
    <definedName name="__________QA7" localSheetId="1">#REF!</definedName>
    <definedName name="__________QA7" localSheetId="0">#REF!</definedName>
    <definedName name="__________QA7">#REF!</definedName>
    <definedName name="__________QE7" localSheetId="1">#REF!</definedName>
    <definedName name="__________QE7" localSheetId="0">#REF!</definedName>
    <definedName name="__________QE7">#REF!</definedName>
    <definedName name="_________EOP7" localSheetId="1">#REF!</definedName>
    <definedName name="_________EOP7" localSheetId="0">#REF!</definedName>
    <definedName name="_________EOP7">#REF!</definedName>
    <definedName name="_________QA7" localSheetId="1">#REF!</definedName>
    <definedName name="_________QA7" localSheetId="0">#REF!</definedName>
    <definedName name="_________QA7">#REF!</definedName>
    <definedName name="_________QE7" localSheetId="1">#REF!</definedName>
    <definedName name="_________QE7" localSheetId="0">#REF!</definedName>
    <definedName name="_________QE7">#REF!</definedName>
    <definedName name="________EOP7" localSheetId="1">#REF!</definedName>
    <definedName name="________EOP7" localSheetId="0">#REF!</definedName>
    <definedName name="________EOP7">#REF!</definedName>
    <definedName name="________QA7" localSheetId="1">#REF!</definedName>
    <definedName name="________QA7" localSheetId="0">#REF!</definedName>
    <definedName name="________QA7">#REF!</definedName>
    <definedName name="________QE7" localSheetId="1">#REF!</definedName>
    <definedName name="________QE7" localSheetId="0">#REF!</definedName>
    <definedName name="________QE7">#REF!</definedName>
    <definedName name="_______EOP7" localSheetId="1">#REF!</definedName>
    <definedName name="_______EOP7" localSheetId="0">#REF!</definedName>
    <definedName name="_______EOP7">#REF!</definedName>
    <definedName name="_______QA7" localSheetId="1">#REF!</definedName>
    <definedName name="_______QA7" localSheetId="0">#REF!</definedName>
    <definedName name="_______QA7">#REF!</definedName>
    <definedName name="_______QE7" localSheetId="1">#REF!</definedName>
    <definedName name="_______QE7" localSheetId="0">#REF!</definedName>
    <definedName name="_______QE7">#REF!</definedName>
    <definedName name="______EOP7" localSheetId="1">#REF!</definedName>
    <definedName name="______EOP7" localSheetId="0">#REF!</definedName>
    <definedName name="______EOP7">#REF!</definedName>
    <definedName name="______QA7" localSheetId="1">#REF!</definedName>
    <definedName name="______QA7" localSheetId="0">#REF!</definedName>
    <definedName name="______QA7">#REF!</definedName>
    <definedName name="______QE7" localSheetId="1">#REF!</definedName>
    <definedName name="______QE7" localSheetId="0">#REF!</definedName>
    <definedName name="______QE7">#REF!</definedName>
    <definedName name="_____EOP7" localSheetId="1">#REF!</definedName>
    <definedName name="_____EOP7" localSheetId="0">#REF!</definedName>
    <definedName name="_____EOP7">#REF!</definedName>
    <definedName name="_____QA7" localSheetId="1">#REF!</definedName>
    <definedName name="_____QA7" localSheetId="0">#REF!</definedName>
    <definedName name="_____QA7">#REF!</definedName>
    <definedName name="_____QE7" localSheetId="1">#REF!</definedName>
    <definedName name="_____QE7" localSheetId="0">#REF!</definedName>
    <definedName name="_____QE7">#REF!</definedName>
    <definedName name="____EOP7" localSheetId="1">#REF!</definedName>
    <definedName name="____EOP7" localSheetId="0">#REF!</definedName>
    <definedName name="____EOP7">#REF!</definedName>
    <definedName name="____QA7" localSheetId="1">#REF!</definedName>
    <definedName name="____QA7" localSheetId="0">#REF!</definedName>
    <definedName name="____QA7">#REF!</definedName>
    <definedName name="____QE7" localSheetId="1">#REF!</definedName>
    <definedName name="____QE7" localSheetId="0">#REF!</definedName>
    <definedName name="____QE7">#REF!</definedName>
    <definedName name="___EOP7" localSheetId="1">#REF!</definedName>
    <definedName name="___EOP7" localSheetId="0">#REF!</definedName>
    <definedName name="___EOP7">#REF!</definedName>
    <definedName name="___QA7" localSheetId="1">#REF!</definedName>
    <definedName name="___QA7" localSheetId="0">#REF!</definedName>
    <definedName name="___QA7">#REF!</definedName>
    <definedName name="___QE7" localSheetId="1">#REF!</definedName>
    <definedName name="___QE7" localSheetId="0">#REF!</definedName>
    <definedName name="___QE7">#REF!</definedName>
    <definedName name="__123Graph_A" localSheetId="1" hidden="1">[1]MCDSS!#REF!</definedName>
    <definedName name="__123Graph_A" localSheetId="0" hidden="1">[1]MCDSS!#REF!</definedName>
    <definedName name="__123Graph_A" hidden="1">[1]MCDSS!#REF!</definedName>
    <definedName name="__123Graph_B" localSheetId="1" hidden="1">[1]MCDSS!#REF!</definedName>
    <definedName name="__123Graph_B" localSheetId="0" hidden="1">[1]MCDSS!#REF!</definedName>
    <definedName name="__123Graph_B" hidden="1">[1]MCDSS!#REF!</definedName>
    <definedName name="__123Graph_C" localSheetId="1" hidden="1">[1]MCDSS!#REF!</definedName>
    <definedName name="__123Graph_C" localSheetId="0" hidden="1">[1]MCDSS!#REF!</definedName>
    <definedName name="__123Graph_C" hidden="1">[1]MCDSS!#REF!</definedName>
    <definedName name="__123Graph_D" localSheetId="1" hidden="1">[1]MCDSS!#REF!</definedName>
    <definedName name="__123Graph_D" localSheetId="0" hidden="1">[1]MCDSS!#REF!</definedName>
    <definedName name="__123Graph_D" hidden="1">[1]MCDSS!#REF!</definedName>
    <definedName name="__123Graph_E" localSheetId="1" hidden="1">[1]MCDSS!#REF!</definedName>
    <definedName name="__123Graph_E" localSheetId="0" hidden="1">[1]MCDSS!#REF!</definedName>
    <definedName name="__123Graph_E" hidden="1">[1]MCDSS!#REF!</definedName>
    <definedName name="__123Graph_LBL_A" localSheetId="1" hidden="1">[1]MCDSS!#REF!</definedName>
    <definedName name="__123Graph_LBL_A" localSheetId="0" hidden="1">[1]MCDSS!#REF!</definedName>
    <definedName name="__123Graph_LBL_A" hidden="1">[1]MCDSS!#REF!</definedName>
    <definedName name="__123Graph_LBL_B" localSheetId="1" hidden="1">[1]MCDSS!#REF!</definedName>
    <definedName name="__123Graph_LBL_B" localSheetId="0" hidden="1">[1]MCDSS!#REF!</definedName>
    <definedName name="__123Graph_LBL_B" hidden="1">[1]MCDSS!#REF!</definedName>
    <definedName name="__123Graph_LBL_C" localSheetId="1" hidden="1">[1]MCDSS!#REF!</definedName>
    <definedName name="__123Graph_LBL_C" localSheetId="0" hidden="1">[1]MCDSS!#REF!</definedName>
    <definedName name="__123Graph_LBL_C" hidden="1">[1]MCDSS!#REF!</definedName>
    <definedName name="__123Graph_LBL_D" localSheetId="1" hidden="1">[1]MCDSS!#REF!</definedName>
    <definedName name="__123Graph_LBL_D" localSheetId="0" hidden="1">[1]MCDSS!#REF!</definedName>
    <definedName name="__123Graph_LBL_D" hidden="1">[1]MCDSS!#REF!</definedName>
    <definedName name="__123Graph_LBL_E" localSheetId="1" hidden="1">[1]MCDSS!#REF!</definedName>
    <definedName name="__123Graph_LBL_E" localSheetId="0" hidden="1">[1]MCDSS!#REF!</definedName>
    <definedName name="__123Graph_LBL_E" hidden="1">[1]MCDSS!#REF!</definedName>
    <definedName name="__123Graph_X" localSheetId="1" hidden="1">[1]MCDSS!#REF!</definedName>
    <definedName name="__123Graph_X" localSheetId="0" hidden="1">[1]MCDSS!#REF!</definedName>
    <definedName name="__123Graph_X" hidden="1">[1]MCDSS!#REF!</definedName>
    <definedName name="__EOP7" localSheetId="1">#REF!</definedName>
    <definedName name="__EOP7" localSheetId="0">#REF!</definedName>
    <definedName name="__EOP7">#REF!</definedName>
    <definedName name="__QA7" localSheetId="1">#REF!</definedName>
    <definedName name="__QA7" localSheetId="0">#REF!</definedName>
    <definedName name="__QA7">#REF!</definedName>
    <definedName name="__QE7" localSheetId="1">#REF!</definedName>
    <definedName name="__QE7" localSheetId="0">#REF!</definedName>
    <definedName name="__QE7">#REF!</definedName>
    <definedName name="_1月">#N/A</definedName>
    <definedName name="_1月総">#N/A</definedName>
    <definedName name="_2月" localSheetId="1">#REF!</definedName>
    <definedName name="_2月" localSheetId="0">#REF!</definedName>
    <definedName name="_2月">#REF!</definedName>
    <definedName name="_2月総">#N/A</definedName>
    <definedName name="_3月">#N/A</definedName>
    <definedName name="_3月総">#N/A</definedName>
    <definedName name="_4月">#N/A</definedName>
    <definedName name="_4月総">#N/A</definedName>
    <definedName name="_5月">#N/A</definedName>
    <definedName name="_5月総">#N/A</definedName>
    <definedName name="_6月">#N/A</definedName>
    <definedName name="_6月総">#N/A</definedName>
    <definedName name="_7月D" localSheetId="1">#REF!</definedName>
    <definedName name="_7月D" localSheetId="0">#REF!</definedName>
    <definedName name="_7月D">#REF!</definedName>
    <definedName name="_7月S" localSheetId="1">#REF!</definedName>
    <definedName name="_7月S" localSheetId="0">#REF!</definedName>
    <definedName name="_7月S">#REF!</definedName>
    <definedName name="_EOP7" localSheetId="1">#REF!</definedName>
    <definedName name="_EOP7" localSheetId="0">#REF!</definedName>
    <definedName name="_EOP7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'Interface device list'!$B$5:$Q$45</definedName>
    <definedName name="_xlnm._FilterDatabase" localSheetId="0" hidden="1">'Network diagram'!$B$155:$V$155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QA7" localSheetId="1">#REF!</definedName>
    <definedName name="_QA7" localSheetId="0">#REF!</definedName>
    <definedName name="_QA7">#REF!</definedName>
    <definedName name="_QE7" localSheetId="1">#REF!</definedName>
    <definedName name="_QE7" localSheetId="0">#REF!</definedName>
    <definedName name="_QE7">#REF!</definedName>
    <definedName name="_Regression_Int" hidden="1">1</definedName>
    <definedName name="_Sort" localSheetId="1" hidden="1">#REF!</definedName>
    <definedName name="_Sort" localSheetId="0" hidden="1">#REF!</definedName>
    <definedName name="_Sort" hidden="1">#REF!</definedName>
    <definedName name="_ST2" localSheetId="1">#REF!</definedName>
    <definedName name="_ST2" localSheetId="0">#REF!</definedName>
    <definedName name="_ST2">#REF!</definedName>
    <definedName name="Ａ" localSheetId="1">'[2]1品種別工程PQEP'!#REF!</definedName>
    <definedName name="Ａ" localSheetId="0">'[2]1品種別工程PQEP'!#REF!</definedName>
    <definedName name="Ａ">'[2]1品種別工程PQEP'!#REF!</definedName>
    <definedName name="aa" localSheetId="0" hidden="1">{#N/A,#N/A,FALSE,"自動車国内"}</definedName>
    <definedName name="aa" hidden="1">{#N/A,#N/A,FALSE,"自動車国内"}</definedName>
    <definedName name="aaa" localSheetId="1">#REF!</definedName>
    <definedName name="aaa" localSheetId="0">#REF!</definedName>
    <definedName name="aaa">#REF!</definedName>
    <definedName name="aaaa" localSheetId="0" hidden="1">{#N/A,#N/A,FALSE,"自動車国内"}</definedName>
    <definedName name="aaaa" hidden="1">{#N/A,#N/A,FALSE,"自動車国内"}</definedName>
    <definedName name="aaaaa" localSheetId="0" hidden="1">{#N/A,#N/A,FALSE,"自動車国内"}</definedName>
    <definedName name="aaaaa" hidden="1">{#N/A,#N/A,FALSE,"自動車国内"}</definedName>
    <definedName name="aaaaaaa" localSheetId="1">#REF!</definedName>
    <definedName name="aaaaaaa" localSheetId="0">#REF!</definedName>
    <definedName name="aaaaaaa">#REF!</definedName>
    <definedName name="aaaaaaaaaaaa" localSheetId="0" hidden="1">{#N/A,#N/A,FALSE,"自動車国内"}</definedName>
    <definedName name="aaaaaaaaaaaa" hidden="1">{#N/A,#N/A,FALSE,"自動車国内"}</definedName>
    <definedName name="aaaas" localSheetId="0" hidden="1">{#N/A,#N/A,FALSE,"自動車国内"}</definedName>
    <definedName name="aaaas" hidden="1">{#N/A,#N/A,FALSE,"自動車国内"}</definedName>
    <definedName name="ABAB" localSheetId="1" hidden="1">[3]MCDSS!#REF!</definedName>
    <definedName name="ABAB" localSheetId="0" hidden="1">[3]MCDSS!#REF!</definedName>
    <definedName name="ABAB" hidden="1">[3]MCDSS!#REF!</definedName>
    <definedName name="accounting" localSheetId="0" hidden="1">{#N/A,#N/A,FALSE,"自動車国内"}</definedName>
    <definedName name="accounting" hidden="1">{#N/A,#N/A,FALSE,"自動車国内"}</definedName>
    <definedName name="aditional" localSheetId="0" hidden="1">{#N/A,#N/A,FALSE,"自動車国内"}</definedName>
    <definedName name="aditional" hidden="1">{#N/A,#N/A,FALSE,"自動車国内"}</definedName>
    <definedName name="adsu" localSheetId="0" hidden="1">{#N/A,#N/A,FALSE,"自動車国内"}</definedName>
    <definedName name="adsu" hidden="1">{#N/A,#N/A,FALSE,"自動車国内"}</definedName>
    <definedName name="akf" localSheetId="0" hidden="1">{#N/A,#N/A,FALSE,"自動車国内"}</definedName>
    <definedName name="akf" hidden="1">{#N/A,#N/A,FALSE,"自動車国内"}</definedName>
    <definedName name="alpha" localSheetId="1">#REF!</definedName>
    <definedName name="alpha" localSheetId="0">#REF!</definedName>
    <definedName name="alpha">#REF!</definedName>
    <definedName name="ARA_Threshold" localSheetId="1">#REF!</definedName>
    <definedName name="ARA_Threshold" localSheetId="0">#REF!</definedName>
    <definedName name="ARA_Threshold">#REF!</definedName>
    <definedName name="ARP_Threshold" localSheetId="1">#REF!</definedName>
    <definedName name="ARP_Threshold" localSheetId="0">#REF!</definedName>
    <definedName name="ARP_Threshold">#REF!</definedName>
    <definedName name="as" localSheetId="0" hidden="1">{#N/A,#N/A,FALSE,"自動車国内"}</definedName>
    <definedName name="as" hidden="1">{#N/A,#N/A,FALSE,"自動車国内"}</definedName>
    <definedName name="AS2DocOpenMode" hidden="1">"AS2DocumentEdit"</definedName>
    <definedName name="AS2ReportLS" hidden="1">1</definedName>
    <definedName name="AS2StaticLS" localSheetId="1" hidden="1">#REF!</definedName>
    <definedName name="AS2StaticLS" localSheetId="0" hidden="1">#REF!</definedName>
    <definedName name="AS2StaticLS" hidden="1">#REF!</definedName>
    <definedName name="AS2SyncStepLS" hidden="1">0</definedName>
    <definedName name="AS2TickmarkLS" localSheetId="1" hidden="1">#REF!</definedName>
    <definedName name="AS2TickmarkLS" localSheetId="0" hidden="1">#REF!</definedName>
    <definedName name="AS2TickmarkLS" hidden="1">#REF!</definedName>
    <definedName name="AS2VersionLS" hidden="1">300</definedName>
    <definedName name="asss" localSheetId="0" hidden="1">{#N/A,#N/A,FALSE,"自動車国内"}</definedName>
    <definedName name="asss" hidden="1">{#N/A,#N/A,FALSE,"自動車国内"}</definedName>
    <definedName name="atthawiut">[4]Report_Range!$X$30</definedName>
    <definedName name="AV">[4]Report_Range!$O$27</definedName>
    <definedName name="b" localSheetId="1">#REF!</definedName>
    <definedName name="b" localSheetId="0">#REF!</definedName>
    <definedName name="b">#REF!</definedName>
    <definedName name="BG_Del" hidden="1">15</definedName>
    <definedName name="BG_Ins" hidden="1">4</definedName>
    <definedName name="BG_Mod" hidden="1">6</definedName>
    <definedName name="bi" localSheetId="1">#REF!</definedName>
    <definedName name="bi" localSheetId="0">#REF!</definedName>
    <definedName name="bi">#REF!</definedName>
    <definedName name="Book1" localSheetId="1">#REF!</definedName>
    <definedName name="Book1" localSheetId="0">#REF!</definedName>
    <definedName name="Book1">#REF!</definedName>
    <definedName name="BRAND">[5]ﾌﾞﾗﾝﾄﾞ!$A:$IV</definedName>
    <definedName name="BS勘定">#N/A</definedName>
    <definedName name="CAT">[6]Temp!$A$4:$D$272</definedName>
    <definedName name="ccc" localSheetId="0" hidden="1">{#N/A,#N/A,FALSE,"自動車国内"}</definedName>
    <definedName name="ccc" hidden="1">{#N/A,#N/A,FALSE,"自動車国内"}</definedName>
    <definedName name="change" localSheetId="0" hidden="1">{#N/A,#N/A,FALSE,"自動車国内"}</definedName>
    <definedName name="change" hidden="1">{#N/A,#N/A,FALSE,"自動車国内"}</definedName>
    <definedName name="CM" localSheetId="1">#REF!</definedName>
    <definedName name="CM" localSheetId="0">#REF!</definedName>
    <definedName name="CM">#REF!</definedName>
    <definedName name="CO7." localSheetId="1">#REF!</definedName>
    <definedName name="CO7." localSheetId="0">#REF!</definedName>
    <definedName name="CO7.">#REF!</definedName>
    <definedName name="col" localSheetId="1">#REF!</definedName>
    <definedName name="col" localSheetId="0">#REF!</definedName>
    <definedName name="col">#REF!</definedName>
    <definedName name="company">'[7]Company master'!$H$5:$I$34</definedName>
    <definedName name="Const_D4">[4]Report_Range!$D$32</definedName>
    <definedName name="Const_K1">[4]Report_Range!$G$4</definedName>
    <definedName name="Const_K2">[4]Report_Range!$G$3</definedName>
    <definedName name="Const_K3">[4]Report_Range!$G$5</definedName>
    <definedName name="Countter" localSheetId="1" hidden="1">[8]MCDSS!#REF!</definedName>
    <definedName name="Countter" localSheetId="0" hidden="1">[8]MCDSS!#REF!</definedName>
    <definedName name="Countter" hidden="1">[8]MCDSS!#REF!</definedName>
    <definedName name="_xlnm.Criteria" localSheetId="1">#REF!</definedName>
    <definedName name="_xlnm.Criteria" localSheetId="0">#REF!</definedName>
    <definedName name="_xlnm.Criteria">#REF!</definedName>
    <definedName name="d" localSheetId="0" hidden="1">{#N/A,#N/A,FALSE,"自動車国内"}</definedName>
    <definedName name="d" hidden="1">{#N/A,#N/A,FALSE,"自動車国内"}</definedName>
    <definedName name="D1月" localSheetId="1">#REF!</definedName>
    <definedName name="D1月" localSheetId="0">#REF!</definedName>
    <definedName name="D1月">#REF!</definedName>
    <definedName name="DATA" localSheetId="1">#REF!</definedName>
    <definedName name="DATA" localSheetId="0">#REF!</definedName>
    <definedName name="DATA">#REF!</definedName>
    <definedName name="_xlnm.Database" localSheetId="0">[9]NCAB!#REF!</definedName>
    <definedName name="_xlnm.Database">[9]NCAB!#REF!</definedName>
    <definedName name="dd" localSheetId="0" hidden="1">{#N/A,#N/A,FALSE,"自動車国内"}</definedName>
    <definedName name="dd" hidden="1">{#N/A,#N/A,FALSE,"自動車国内"}</definedName>
    <definedName name="ddd" localSheetId="0" hidden="1">{#N/A,#N/A,FALSE,"自動車国内"}</definedName>
    <definedName name="ddd" hidden="1">{#N/A,#N/A,FALSE,"自動車国内"}</definedName>
    <definedName name="DO" localSheetId="1">#REF!</definedName>
    <definedName name="DO" localSheetId="0">#REF!</definedName>
    <definedName name="DO">#REF!</definedName>
    <definedName name="DP" localSheetId="1">#REF!</definedName>
    <definedName name="DP" localSheetId="0">#REF!</definedName>
    <definedName name="DP">#REF!</definedName>
    <definedName name="DRUCK_VS" localSheetId="1">#REF!</definedName>
    <definedName name="DRUCK_VS" localSheetId="0">#REF!</definedName>
    <definedName name="DRUCK_VS">#REF!</definedName>
    <definedName name="DRWISS">[10]NEW003!$I:$I</definedName>
    <definedName name="DRWRCV">[10]NEW003!$J:$J</definedName>
    <definedName name="DU" localSheetId="1">#REF!</definedName>
    <definedName name="DU" localSheetId="0">#REF!</definedName>
    <definedName name="DU">#REF!</definedName>
    <definedName name="DWGRCV" localSheetId="1">#REF!</definedName>
    <definedName name="DWGRCV" localSheetId="0">#REF!</definedName>
    <definedName name="DWGRCV">#REF!</definedName>
    <definedName name="EEE" localSheetId="0" hidden="1">{#N/A,#N/A,FALSE,"自動車国内"}</definedName>
    <definedName name="EEE" hidden="1">{#N/A,#N/A,FALSE,"自動車国内"}</definedName>
    <definedName name="EV">[4]Report_Range!$O$26</definedName>
    <definedName name="FA" localSheetId="0" hidden="1">{#N/A,#N/A,FALSE,"自動車国内"}</definedName>
    <definedName name="FA" hidden="1">{#N/A,#N/A,FALSE,"自動車国内"}</definedName>
    <definedName name="FE" localSheetId="1">#REF!</definedName>
    <definedName name="FE" localSheetId="0">#REF!</definedName>
    <definedName name="FE">#REF!</definedName>
    <definedName name="FH" localSheetId="1">#REF!</definedName>
    <definedName name="FH" localSheetId="0">#REF!</definedName>
    <definedName name="FH">#REF!</definedName>
    <definedName name="first_half">'[11]99 costs'!$G1+'[11]99 costs'!$I1+'[11]99 costs'!$K1+'[11]99 costs'!$M1+'[11]99 costs'!$O1+'[11]99 costs'!$Q1</definedName>
    <definedName name="format" localSheetId="0" hidden="1">{#N/A,#N/A,FALSE,"自動車国内"}</definedName>
    <definedName name="format" hidden="1">{#N/A,#N/A,FALSE,"自動車国内"}</definedName>
    <definedName name="fukai" localSheetId="0" hidden="1">{#N/A,#N/A,FALSE,"自動車国内"}</definedName>
    <definedName name="fukai" hidden="1">{#N/A,#N/A,FALSE,"自動車国内"}</definedName>
    <definedName name="FV" localSheetId="1">#REF!</definedName>
    <definedName name="FV" localSheetId="0">#REF!</definedName>
    <definedName name="FV">#REF!</definedName>
    <definedName name="gDataRange" localSheetId="1">#REF!</definedName>
    <definedName name="gDataRange" localSheetId="0">#REF!</definedName>
    <definedName name="gDataRange">#REF!</definedName>
    <definedName name="gm" localSheetId="1">#REF!</definedName>
    <definedName name="gm" localSheetId="0">#REF!</definedName>
    <definedName name="gm">#REF!</definedName>
    <definedName name="H" localSheetId="1">#REF!</definedName>
    <definedName name="H" localSheetId="0">#REF!</definedName>
    <definedName name="H">#REF!</definedName>
    <definedName name="hai" localSheetId="1">[12]集計表!#REF!</definedName>
    <definedName name="hai" localSheetId="0">[12]集計表!#REF!</definedName>
    <definedName name="hai">[12]集計表!#REF!</definedName>
    <definedName name="Height">10</definedName>
    <definedName name="Henkou" localSheetId="0" hidden="1">{#N/A,#N/A,FALSE,"自動車国内"}</definedName>
    <definedName name="Henkou" hidden="1">{#N/A,#N/A,FALSE,"自動車国内"}</definedName>
    <definedName name="hhhhhhh">[13]Temp!$A$4:$D$272</definedName>
    <definedName name="HIN" localSheetId="1">#REF!</definedName>
    <definedName name="HIN" localSheetId="0">#REF!</definedName>
    <definedName name="HIN">#REF!</definedName>
    <definedName name="HINS" localSheetId="1">#REF!</definedName>
    <definedName name="HINS" localSheetId="0">#REF!</definedName>
    <definedName name="HINS">#REF!</definedName>
    <definedName name="INS" localSheetId="1">#REF!</definedName>
    <definedName name="INS" localSheetId="0">#REF!</definedName>
    <definedName name="INS">#REF!</definedName>
    <definedName name="INS_IE" localSheetId="1">#REF!</definedName>
    <definedName name="INS_IE" localSheetId="0">#REF!</definedName>
    <definedName name="INS_IE">#REF!</definedName>
    <definedName name="J" localSheetId="1">#REF!</definedName>
    <definedName name="J" localSheetId="0">#REF!</definedName>
    <definedName name="J">#REF!</definedName>
    <definedName name="k_3" localSheetId="1">#REF!</definedName>
    <definedName name="k_3" localSheetId="0">#REF!</definedName>
    <definedName name="k_3">#REF!</definedName>
    <definedName name="kawari" localSheetId="0" hidden="1">{#N/A,#N/A,FALSE,"自動車国内"}</definedName>
    <definedName name="kawari" hidden="1">{#N/A,#N/A,FALSE,"自動車国内"}</definedName>
    <definedName name="kkkk" localSheetId="0" hidden="1">{#N/A,#N/A,FALSE,"自動車国内"}</definedName>
    <definedName name="kkkk" hidden="1">{#N/A,#N/A,FALSE,"自動車国内"}</definedName>
    <definedName name="L" localSheetId="0" hidden="1">{#N/A,#N/A,FALSE,"自動車国内"}</definedName>
    <definedName name="L" hidden="1">{#N/A,#N/A,FALSE,"自動車国内"}</definedName>
    <definedName name="L_Adjust">[14]Links!$H:$H</definedName>
    <definedName name="L_AJE_Tot">[14]Links!$G:$G</definedName>
    <definedName name="L_CY_Beg">[14]Links!$F:$F</definedName>
    <definedName name="L_CY_End">[14]Links!$J:$J</definedName>
    <definedName name="L_PY_End">[14]Links!$K:$K</definedName>
    <definedName name="L_RJE_Tot">[14]Links!$I:$I</definedName>
    <definedName name="LCL" localSheetId="1">#REF!</definedName>
    <definedName name="LCL" localSheetId="0">#REF!</definedName>
    <definedName name="LCL">#REF!</definedName>
    <definedName name="Linearity" localSheetId="1">#REF!</definedName>
    <definedName name="Linearity" localSheetId="0">#REF!</definedName>
    <definedName name="Linearity">#REF!</definedName>
    <definedName name="ll" localSheetId="0" hidden="1">{#N/A,#N/A,FALSE,"自動車国内"}</definedName>
    <definedName name="ll" hidden="1">{#N/A,#N/A,FALSE,"自動車国内"}</definedName>
    <definedName name="lower_spec" localSheetId="1">#REF!</definedName>
    <definedName name="lower_spec" localSheetId="0">#REF!</definedName>
    <definedName name="lower_spec">#REF!</definedName>
    <definedName name="MCDRWISS">'[15]MC3(main)'!$I:$I</definedName>
    <definedName name="MCDRWRCV">'[15]MC3(main)'!$J:$J</definedName>
    <definedName name="MCISIR">'[15]MC3(main)'!$R:$R</definedName>
    <definedName name="MCITEM">[15]MC1!$A:$A</definedName>
    <definedName name="MCMPLAN">'[15]MC3(main)'!$N:$N</definedName>
    <definedName name="MCSAMPLAN">'[15]MC3(main)'!$P:$P</definedName>
    <definedName name="MCSAMRCVD">'[15]MC3(main)'!$Q:$Q</definedName>
    <definedName name="MISE" localSheetId="1">#REF!</definedName>
    <definedName name="MISE" localSheetId="0">#REF!</definedName>
    <definedName name="MISE">#REF!</definedName>
    <definedName name="Month" localSheetId="1">#REF!</definedName>
    <definedName name="Month" localSheetId="0">#REF!</definedName>
    <definedName name="Month">#REF!</definedName>
    <definedName name="Month_text" localSheetId="1">#REF!</definedName>
    <definedName name="Month_text" localSheetId="0">#REF!</definedName>
    <definedName name="Month_text">#REF!</definedName>
    <definedName name="MPLAN">[10]NEW003!$N:$N</definedName>
    <definedName name="n" localSheetId="1">#REF!</definedName>
    <definedName name="n" localSheetId="0">#REF!</definedName>
    <definedName name="n">#REF!</definedName>
    <definedName name="No._of_bars" localSheetId="1">#REF!</definedName>
    <definedName name="No._of_bars" localSheetId="0">#REF!</definedName>
    <definedName name="No._of_bars">#REF!</definedName>
    <definedName name="NOO">[4]Report_Range!$E$3</definedName>
    <definedName name="NOS">[4]Report_Range!$E$5</definedName>
    <definedName name="NOT">[4]Report_Range!$E$4</definedName>
    <definedName name="Number_of_Operators" localSheetId="1">#REF!</definedName>
    <definedName name="Number_of_Operators" localSheetId="0">#REF!</definedName>
    <definedName name="Number_of_Operators">#REF!</definedName>
    <definedName name="Number_of_Parts" localSheetId="1">#REF!</definedName>
    <definedName name="Number_of_Parts" localSheetId="0">#REF!</definedName>
    <definedName name="Number_of_Parts">#REF!</definedName>
    <definedName name="Number_of_Trials" localSheetId="1">#REF!</definedName>
    <definedName name="Number_of_Trials" localSheetId="0">#REF!</definedName>
    <definedName name="Number_of_Trials">#REF!</definedName>
    <definedName name="O" localSheetId="1">#REF!</definedName>
    <definedName name="O" localSheetId="0">#REF!</definedName>
    <definedName name="O">#REF!</definedName>
    <definedName name="OK" localSheetId="1">#REF!</definedName>
    <definedName name="OK" localSheetId="0">#REF!</definedName>
    <definedName name="OK">#REF!</definedName>
    <definedName name="OperatorA">[4]Report_Range!$C$10:$E$19</definedName>
    <definedName name="OperatorB">[4]Report_Range!$I$10:$K$19</definedName>
    <definedName name="OperatorC">[4]Report_Range!$O$10:$Q$19</definedName>
    <definedName name="Overtime" localSheetId="0" hidden="1">{#N/A,#N/A,FALSE,"自動車国内"}</definedName>
    <definedName name="Overtime" hidden="1">{#N/A,#N/A,FALSE,"自動車国内"}</definedName>
    <definedName name="P" localSheetId="1">#REF!</definedName>
    <definedName name="P" localSheetId="0">#REF!</definedName>
    <definedName name="P">#REF!</definedName>
    <definedName name="PACK" localSheetId="1">#REF!</definedName>
    <definedName name="PACK" localSheetId="0">#REF!</definedName>
    <definedName name="PACK">#REF!</definedName>
    <definedName name="PJC" localSheetId="1">#REF!</definedName>
    <definedName name="PJC" localSheetId="0">#REF!</definedName>
    <definedName name="PJC">#REF!</definedName>
    <definedName name="PLANRCV" localSheetId="1">#REF!</definedName>
    <definedName name="PLANRCV" localSheetId="0">#REF!</definedName>
    <definedName name="PLANRCV">#REF!</definedName>
    <definedName name="POL" localSheetId="1">#REF!</definedName>
    <definedName name="POL" localSheetId="0">#REF!</definedName>
    <definedName name="POL">#REF!</definedName>
    <definedName name="PPD" localSheetId="1">#REF!</definedName>
    <definedName name="PPD" localSheetId="0">#REF!</definedName>
    <definedName name="PPD">#REF!</definedName>
    <definedName name="_xlnm.Print_Area" localSheetId="1">'Interface device list'!$A:$AP</definedName>
    <definedName name="_xlnm.Print_Area" localSheetId="0">'Network diagram'!$A:$AA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1">'Interface device list'!$1:$5</definedName>
    <definedName name="_xlnm.Print_Titles" localSheetId="0">'Network diagram'!$1:$52</definedName>
    <definedName name="_xlnm.Print_Titles">#N/A</definedName>
    <definedName name="PRINT_TITLES_MI">#N/A</definedName>
    <definedName name="Process_Variation" localSheetId="1">#REF!</definedName>
    <definedName name="Process_Variation" localSheetId="0">#REF!</definedName>
    <definedName name="Process_Variation">#REF!</definedName>
    <definedName name="production" localSheetId="1">#REF!</definedName>
    <definedName name="production" localSheetId="0">#REF!</definedName>
    <definedName name="production">#REF!</definedName>
    <definedName name="PV">[4]Report_Range!$O$30</definedName>
    <definedName name="q" localSheetId="0" hidden="1">{#N/A,#N/A,FALSE,"自動車国内"}</definedName>
    <definedName name="q" hidden="1">{#N/A,#N/A,FALSE,"自動車国内"}</definedName>
    <definedName name="QC" localSheetId="1">#REF!</definedName>
    <definedName name="QC" localSheetId="0">#REF!</definedName>
    <definedName name="QC">#REF!</definedName>
    <definedName name="QQQQ" localSheetId="0" hidden="1">{#N/A,#N/A,FALSE,"自動車国内"}</definedName>
    <definedName name="QQQQ" hidden="1">{#N/A,#N/A,FALSE,"自動車国内"}</definedName>
    <definedName name="R_2" localSheetId="1">#REF!</definedName>
    <definedName name="R_2" localSheetId="0">#REF!</definedName>
    <definedName name="R_2">#REF!</definedName>
    <definedName name="R_bar" localSheetId="1">#REF!</definedName>
    <definedName name="R_bar" localSheetId="0">#REF!</definedName>
    <definedName name="R_bar">#REF!</definedName>
    <definedName name="R_R">[4]Report_Range!$O$28</definedName>
    <definedName name="Range">[16]Histogram!$B$7</definedName>
    <definedName name="RbarA">[4]Report_Range!$G$20</definedName>
    <definedName name="RbarB">[4]Report_Range!$M$20</definedName>
    <definedName name="Rbarbar">[4]Report_Range!$D$31</definedName>
    <definedName name="RbarC">[4]Report_Range!$S$20</definedName>
    <definedName name="Rbars">[4]Report_Range!$D$27:$D$29</definedName>
    <definedName name="Report_Heading" localSheetId="1">#REF!</definedName>
    <definedName name="Report_Heading" localSheetId="0">#REF!</definedName>
    <definedName name="Report_Heading">#REF!</definedName>
    <definedName name="Rp">[4]Report_Range!$E$31</definedName>
    <definedName name="RR" localSheetId="1">#REF!</definedName>
    <definedName name="RR" localSheetId="0">#REF!</definedName>
    <definedName name="RR">#REF!</definedName>
    <definedName name="RRR" localSheetId="1">#REF!</definedName>
    <definedName name="RRR" localSheetId="0">#REF!</definedName>
    <definedName name="RRR">#REF!</definedName>
    <definedName name="RUINO">[5]ｶﾃｺﾞﾘｰ!$A:$IV</definedName>
    <definedName name="S" localSheetId="1">#REF!</definedName>
    <definedName name="S" localSheetId="0">#REF!</definedName>
    <definedName name="S">#REF!</definedName>
    <definedName name="S_AcctDes" localSheetId="1">#REF!</definedName>
    <definedName name="S_AcctDes" localSheetId="0">#REF!</definedName>
    <definedName name="S_AcctDes">#REF!</definedName>
    <definedName name="S_Adjust" localSheetId="1">#REF!</definedName>
    <definedName name="S_Adjust" localSheetId="0">#REF!</definedName>
    <definedName name="S_Adjust">#REF!</definedName>
    <definedName name="S_Adjust_Data" localSheetId="1">#REF!</definedName>
    <definedName name="S_Adjust_Data" localSheetId="0">#REF!</definedName>
    <definedName name="S_Adjust_Data">#REF!</definedName>
    <definedName name="S_Adjust_GT" localSheetId="1">#REF!</definedName>
    <definedName name="S_Adjust_GT" localSheetId="0">#REF!</definedName>
    <definedName name="S_Adjust_GT">#REF!</definedName>
    <definedName name="S_AJE_Tot" localSheetId="1">#REF!</definedName>
    <definedName name="S_AJE_Tot" localSheetId="0">#REF!</definedName>
    <definedName name="S_AJE_Tot">#REF!</definedName>
    <definedName name="S_AJE_Tot_Data" localSheetId="1">#REF!</definedName>
    <definedName name="S_AJE_Tot_Data" localSheetId="0">#REF!</definedName>
    <definedName name="S_AJE_Tot_Data">#REF!</definedName>
    <definedName name="S_AJE_Tot_GT" localSheetId="1">#REF!</definedName>
    <definedName name="S_AJE_Tot_GT" localSheetId="0">#REF!</definedName>
    <definedName name="S_AJE_Tot_GT">#REF!</definedName>
    <definedName name="S_CompNum" localSheetId="1">#REF!</definedName>
    <definedName name="S_CompNum" localSheetId="0">#REF!</definedName>
    <definedName name="S_CompNum">#REF!</definedName>
    <definedName name="S_CY_Beg" localSheetId="1">#REF!</definedName>
    <definedName name="S_CY_Beg" localSheetId="0">#REF!</definedName>
    <definedName name="S_CY_Beg">#REF!</definedName>
    <definedName name="S_CY_Beg_Data" localSheetId="1">#REF!</definedName>
    <definedName name="S_CY_Beg_Data" localSheetId="0">#REF!</definedName>
    <definedName name="S_CY_Beg_Data">#REF!</definedName>
    <definedName name="S_CY_Beg_GT" localSheetId="1">#REF!</definedName>
    <definedName name="S_CY_Beg_GT" localSheetId="0">#REF!</definedName>
    <definedName name="S_CY_Beg_GT">#REF!</definedName>
    <definedName name="S_CY_End" localSheetId="1">#REF!</definedName>
    <definedName name="S_CY_End" localSheetId="0">#REF!</definedName>
    <definedName name="S_CY_End">#REF!</definedName>
    <definedName name="S_CY_End_Data" localSheetId="1">#REF!</definedName>
    <definedName name="S_CY_End_Data" localSheetId="0">#REF!</definedName>
    <definedName name="S_CY_End_Data">#REF!</definedName>
    <definedName name="S_CY_End_GT" localSheetId="1">#REF!</definedName>
    <definedName name="S_CY_End_GT" localSheetId="0">#REF!</definedName>
    <definedName name="S_CY_End_GT">#REF!</definedName>
    <definedName name="S_Diff_Amt" localSheetId="1">#REF!</definedName>
    <definedName name="S_Diff_Amt" localSheetId="0">#REF!</definedName>
    <definedName name="S_Diff_Amt">#REF!</definedName>
    <definedName name="S_Diff_Pct" localSheetId="1">#REF!</definedName>
    <definedName name="S_Diff_Pct" localSheetId="0">#REF!</definedName>
    <definedName name="S_Diff_Pct">#REF!</definedName>
    <definedName name="S_GrpNum" localSheetId="1">#REF!</definedName>
    <definedName name="S_GrpNum" localSheetId="0">#REF!</definedName>
    <definedName name="S_GrpNum">#REF!</definedName>
    <definedName name="S_Headings" localSheetId="1">#REF!</definedName>
    <definedName name="S_Headings" localSheetId="0">#REF!</definedName>
    <definedName name="S_Headings">#REF!</definedName>
    <definedName name="S_KeyValue" localSheetId="1">#REF!</definedName>
    <definedName name="S_KeyValue" localSheetId="0">#REF!</definedName>
    <definedName name="S_KeyValue">#REF!</definedName>
    <definedName name="S_PY_End" localSheetId="1">#REF!</definedName>
    <definedName name="S_PY_End" localSheetId="0">#REF!</definedName>
    <definedName name="S_PY_End">#REF!</definedName>
    <definedName name="S_PY_End_Data" localSheetId="1">#REF!</definedName>
    <definedName name="S_PY_End_Data" localSheetId="0">#REF!</definedName>
    <definedName name="S_PY_End_Data">#REF!</definedName>
    <definedName name="S_PY_End_GT" localSheetId="1">#REF!</definedName>
    <definedName name="S_PY_End_GT" localSheetId="0">#REF!</definedName>
    <definedName name="S_PY_End_GT">#REF!</definedName>
    <definedName name="S_RJE_Tot" localSheetId="1">#REF!</definedName>
    <definedName name="S_RJE_Tot" localSheetId="0">#REF!</definedName>
    <definedName name="S_RJE_Tot">#REF!</definedName>
    <definedName name="S_RJE_Tot_Data" localSheetId="1">#REF!</definedName>
    <definedName name="S_RJE_Tot_Data" localSheetId="0">#REF!</definedName>
    <definedName name="S_RJE_Tot_Data">#REF!</definedName>
    <definedName name="S_RJE_Tot_GT" localSheetId="1">#REF!</definedName>
    <definedName name="S_RJE_Tot_GT" localSheetId="0">#REF!</definedName>
    <definedName name="S_RJE_Tot_GT">#REF!</definedName>
    <definedName name="S_RowNum" localSheetId="1">#REF!</definedName>
    <definedName name="S_RowNum" localSheetId="0">#REF!</definedName>
    <definedName name="S_RowNum">#REF!</definedName>
    <definedName name="SAMACT" localSheetId="1">#REF!</definedName>
    <definedName name="SAMACT" localSheetId="0">#REF!</definedName>
    <definedName name="SAMACT">#REF!</definedName>
    <definedName name="SAMPLAN">[10]NEW003!$P:$P</definedName>
    <definedName name="Sample1">[4]Report_Range!$C$10:$S$10</definedName>
    <definedName name="Sample10">[4]Report_Range!$C$19:$S$19</definedName>
    <definedName name="Sample2">[4]Report_Range!$C$11:$S$11</definedName>
    <definedName name="sample26" localSheetId="1">#REF!</definedName>
    <definedName name="sample26" localSheetId="0">#REF!</definedName>
    <definedName name="sample26">#REF!</definedName>
    <definedName name="Sample3">[4]Report_Range!$C$12:$S$12</definedName>
    <definedName name="Sample4">[4]Report_Range!$C$13:$S$13</definedName>
    <definedName name="Sample5">[4]Report_Range!$C$14:$S$14</definedName>
    <definedName name="Sample6">[4]Report_Range!$C$15:$S$15</definedName>
    <definedName name="Sample7">[4]Report_Range!$C$16:$S$16</definedName>
    <definedName name="Sample8">[4]Report_Range!$C$17:$S$17</definedName>
    <definedName name="Sample9">[4]Report_Range!$C$18:$S$18</definedName>
    <definedName name="SCHD" localSheetId="1">#REF!</definedName>
    <definedName name="SCHD" localSheetId="0">#REF!</definedName>
    <definedName name="SCHD">#REF!</definedName>
    <definedName name="schedule" localSheetId="0">'[17]#ofclose .xl'!#REF!</definedName>
    <definedName name="schedule">'[17]#ofclose .xl'!#REF!</definedName>
    <definedName name="SD" localSheetId="1">#REF!</definedName>
    <definedName name="SD" localSheetId="0">#REF!</definedName>
    <definedName name="SD">#REF!</definedName>
    <definedName name="second_half">'[11]99 costs'!$S1+'[11]99 costs'!$U1+'[11]99 costs'!$W1+'[11]99 costs'!$Y1+'[11]99 costs'!$AA1+'[11]99 costs'!$AC1</definedName>
    <definedName name="SET" localSheetId="0" hidden="1">{#N/A,#N/A,FALSE,"自動車国内"}</definedName>
    <definedName name="SET" hidden="1">{#N/A,#N/A,FALSE,"自動車国内"}</definedName>
    <definedName name="SEU月報印刷" localSheetId="1">[18]!SEU月報印刷</definedName>
    <definedName name="SEU月報印刷" localSheetId="0">[18]!SEU月報印刷</definedName>
    <definedName name="SEU月報印刷">[18]!SEU月報印刷</definedName>
    <definedName name="SORT" localSheetId="1">#REF!</definedName>
    <definedName name="SORT" localSheetId="0">#REF!</definedName>
    <definedName name="SORT">#REF!</definedName>
    <definedName name="SRC" localSheetId="1">#REF!</definedName>
    <definedName name="SRC" localSheetId="0">#REF!</definedName>
    <definedName name="SRC">#REF!</definedName>
    <definedName name="SRCV" localSheetId="1">#REF!</definedName>
    <definedName name="SRCV" localSheetId="0">#REF!</definedName>
    <definedName name="SRCV">#REF!</definedName>
    <definedName name="ss" localSheetId="0" hidden="1">{#N/A,#N/A,FALSE,"自動車国内"}</definedName>
    <definedName name="ss" hidden="1">{#N/A,#N/A,FALSE,"自動車国内"}</definedName>
    <definedName name="SSe">[4]Report_Anova!$G$27</definedName>
    <definedName name="SSo">[4]Report_Anova!$D$27</definedName>
    <definedName name="SSop">[4]Report_Anova!$D$28</definedName>
    <definedName name="SSp">[4]Report_Anova!$D$26</definedName>
    <definedName name="sssss" localSheetId="0" hidden="1">{#N/A,#N/A,FALSE,"自動車国内"}</definedName>
    <definedName name="sssss" hidden="1">{#N/A,#N/A,FALSE,"自動車国内"}</definedName>
    <definedName name="ST" localSheetId="1">#REF!</definedName>
    <definedName name="ST" localSheetId="0">#REF!</definedName>
    <definedName name="ST">#REF!</definedName>
    <definedName name="SUM__Xi" localSheetId="1">#REF!</definedName>
    <definedName name="SUM__Xi" localSheetId="0">#REF!</definedName>
    <definedName name="SUM__Xi">#REF!</definedName>
    <definedName name="SUM__Xi__2" localSheetId="1">#REF!</definedName>
    <definedName name="SUM__Xi__2" localSheetId="0">#REF!</definedName>
    <definedName name="SUM__Xi__2">#REF!</definedName>
    <definedName name="SUM__Xi__n" localSheetId="1">#REF!</definedName>
    <definedName name="SUM__Xi__n" localSheetId="0">#REF!</definedName>
    <definedName name="SUM__Xi__n">#REF!</definedName>
    <definedName name="SUM__XY" localSheetId="1">#REF!</definedName>
    <definedName name="SUM__XY" localSheetId="0">#REF!</definedName>
    <definedName name="SUM__XY">#REF!</definedName>
    <definedName name="SUM__Yi" localSheetId="1">#REF!</definedName>
    <definedName name="SUM__Yi" localSheetId="0">#REF!</definedName>
    <definedName name="SUM__Yi">#REF!</definedName>
    <definedName name="SUM__Yi__2" localSheetId="1">#REF!</definedName>
    <definedName name="SUM__Yi__2" localSheetId="0">#REF!</definedName>
    <definedName name="SUM__Yi__2">#REF!</definedName>
    <definedName name="SUM__Yi__n" localSheetId="1">#REF!</definedName>
    <definedName name="SUM__Yi__n" localSheetId="0">#REF!</definedName>
    <definedName name="SUM__Yi__n">#REF!</definedName>
    <definedName name="SUM_Xi2" localSheetId="1">#REF!</definedName>
    <definedName name="SUM_Xi2" localSheetId="0">#REF!</definedName>
    <definedName name="SUM_Xi2">#REF!</definedName>
    <definedName name="SUM_Yi2" localSheetId="1">#REF!</definedName>
    <definedName name="SUM_Yi2" localSheetId="0">#REF!</definedName>
    <definedName name="SUM_Yi2">#REF!</definedName>
    <definedName name="Sunstar" localSheetId="0" hidden="1">{#N/A,#N/A,FALSE,"自動車国内"}</definedName>
    <definedName name="Sunstar" hidden="1">{#N/A,#N/A,FALSE,"自動車国内"}</definedName>
    <definedName name="Syx" localSheetId="1">#REF!</definedName>
    <definedName name="Syx" localSheetId="0">#REF!</definedName>
    <definedName name="Syx">#REF!</definedName>
    <definedName name="ｔ" localSheetId="1">[19]集計表!#REF!</definedName>
    <definedName name="ｔ" localSheetId="0">[19]集計表!#REF!</definedName>
    <definedName name="ｔ">[19]集計表!#REF!</definedName>
    <definedName name="t_crit" localSheetId="1">#REF!</definedName>
    <definedName name="t_crit" localSheetId="0">#REF!</definedName>
    <definedName name="t_crit">#REF!</definedName>
    <definedName name="TextRefCopy3" localSheetId="1">'[20]Cutoff DN,CN'!#REF!</definedName>
    <definedName name="TextRefCopy3" localSheetId="0">'[20]Cutoff DN,CN'!#REF!</definedName>
    <definedName name="TextRefCopy3">'[20]Cutoff DN,CN'!#REF!</definedName>
    <definedName name="TextRefCopy4" localSheetId="1">'[20]Cutoff DN,CN'!#REF!</definedName>
    <definedName name="TextRefCopy4" localSheetId="0">'[20]Cutoff DN,CN'!#REF!</definedName>
    <definedName name="TextRefCopy4">'[20]Cutoff DN,CN'!#REF!</definedName>
    <definedName name="TextRefCopyRangeCount" hidden="1">2</definedName>
    <definedName name="Tolerance">[4]Report_Range!$Q$5</definedName>
    <definedName name="Tolerance_Range" localSheetId="1">#REF!</definedName>
    <definedName name="Tolerance_Range" localSheetId="0">#REF!</definedName>
    <definedName name="Tolerance_Range">#REF!</definedName>
    <definedName name="TOOL" localSheetId="1">#REF!</definedName>
    <definedName name="TOOL" localSheetId="0">#REF!</definedName>
    <definedName name="TOOL">#REF!</definedName>
    <definedName name="TSS">[4]Report_Anova!$G$26</definedName>
    <definedName name="UBS" localSheetId="1">#REF!</definedName>
    <definedName name="UBS" localSheetId="0">#REF!</definedName>
    <definedName name="UBS">#REF!</definedName>
    <definedName name="UCL" localSheetId="1">#REF!</definedName>
    <definedName name="UCL" localSheetId="0">#REF!</definedName>
    <definedName name="UCL">#REF!</definedName>
    <definedName name="UCLR" localSheetId="1">#REF!</definedName>
    <definedName name="UCLR" localSheetId="0">#REF!</definedName>
    <definedName name="UCLR">#REF!</definedName>
    <definedName name="upper_spec" localSheetId="1">#REF!</definedName>
    <definedName name="upper_spec" localSheetId="0">#REF!</definedName>
    <definedName name="upper_spec">#REF!</definedName>
    <definedName name="Width">4</definedName>
    <definedName name="WORK" localSheetId="1">#REF!</definedName>
    <definedName name="WORK" localSheetId="0">#REF!</definedName>
    <definedName name="WORK">#REF!</definedName>
    <definedName name="wrn." localSheetId="0" hidden="1">{#N/A,#N/A,FALSE,"自動車国内"}</definedName>
    <definedName name="wrn." hidden="1">{#N/A,#N/A,FALSE,"自動車国内"}</definedName>
    <definedName name="wrn.国内月別実績." localSheetId="0" hidden="1">{#N/A,#N/A,FALSE,"自動車国内"}</definedName>
    <definedName name="wrn.国内月別実績." hidden="1">{#N/A,#N/A,FALSE,"自動車国内"}</definedName>
    <definedName name="wrn.自動車国内月別計画." localSheetId="0" hidden="1">{#N/A,#N/A,FALSE,"自動車国内"}</definedName>
    <definedName name="wrn.自動車国内月別計画." hidden="1">{#N/A,#N/A,FALSE,"自動車国内"}</definedName>
    <definedName name="x_doublebar" localSheetId="1">#REF!</definedName>
    <definedName name="x_doublebar" localSheetId="0">#REF!</definedName>
    <definedName name="x_doublebar">#REF!</definedName>
    <definedName name="xbar" localSheetId="1">#REF!</definedName>
    <definedName name="xbar" localSheetId="0">#REF!</definedName>
    <definedName name="xbar">#REF!</definedName>
    <definedName name="XbarDiff">[4]Report_Range!$C$31</definedName>
    <definedName name="Xbars">[4]Report_Range!$C$27:$C$29</definedName>
    <definedName name="XbarsA">[4]Report_Range!$C$20:$E$20</definedName>
    <definedName name="XbarsB">[4]Report_Range!$I$20:$K$20</definedName>
    <definedName name="XbarsC">[4]Report_Range!$O$20:$Q$20</definedName>
    <definedName name="xprod">SUM('[11]old format'!A$96:A$228)</definedName>
    <definedName name="yy" localSheetId="0" hidden="1">{#N/A,#N/A,FALSE,"自動車国内"}</definedName>
    <definedName name="yy" hidden="1">{#N/A,#N/A,FALSE,"自動車国内"}</definedName>
    <definedName name="YYYY">'[21]Depre-FY20'!$E$2</definedName>
    <definedName name="Z" localSheetId="1">#REF!</definedName>
    <definedName name="Z" localSheetId="0">#REF!</definedName>
    <definedName name="Z">#REF!</definedName>
    <definedName name="オンライン" localSheetId="1">[22]経予管98上!#REF!</definedName>
    <definedName name="オンライン" localSheetId="0">[22]経予管98上!#REF!</definedName>
    <definedName name="オンライン">[22]経予管98上!#REF!</definedName>
    <definedName name="ガス代" localSheetId="1">[22]経予管98上!#REF!</definedName>
    <definedName name="ガス代" localSheetId="0">[22]経予管98上!#REF!</definedName>
    <definedName name="ガス代">[22]経予管98上!#REF!</definedName>
    <definedName name="コンピュータ関係" localSheetId="1">[22]経予管98上!#REF!</definedName>
    <definedName name="コンピュータ関係" localSheetId="0">[22]経予管98上!#REF!</definedName>
    <definedName name="コンピュータ関係">[22]経予管98上!#REF!</definedName>
    <definedName name="タイプ代" localSheetId="1">[22]経予管98上!#REF!</definedName>
    <definedName name="タイプ代" localSheetId="0">[22]経予管98上!#REF!</definedName>
    <definedName name="タイプ代">[22]経予管98上!#REF!</definedName>
    <definedName name="テレックス" localSheetId="1">[22]経予管98上!#REF!</definedName>
    <definedName name="テレックス" localSheetId="0">[22]経予管98上!#REF!</definedName>
    <definedName name="テレックス">[22]経予管98上!#REF!</definedName>
    <definedName name="เนื่อหา14" localSheetId="1">#REF!</definedName>
    <definedName name="เนื่อหา14" localSheetId="0">#REF!</definedName>
    <definedName name="เนื่อหา14">#REF!</definedName>
    <definedName name="ก" localSheetId="1">#REF!</definedName>
    <definedName name="ก" localSheetId="0">#REF!</definedName>
    <definedName name="ก">#REF!</definedName>
    <definedName name="ด38" localSheetId="1">#REF!</definedName>
    <definedName name="ด38" localSheetId="0">#REF!</definedName>
    <definedName name="ด38">#REF!</definedName>
    <definedName name="ฟ" localSheetId="1">#REF!</definedName>
    <definedName name="ฟ" localSheetId="0">#REF!</definedName>
    <definedName name="ฟ">#REF!</definedName>
    <definedName name="ฟ1" localSheetId="1">#REF!</definedName>
    <definedName name="ฟ1" localSheetId="0">#REF!</definedName>
    <definedName name="ฟ1">#REF!</definedName>
    <definedName name="ร12">[23]DataSheet1!$U$15</definedName>
    <definedName name="า33" localSheetId="1">#REF!</definedName>
    <definedName name="า33" localSheetId="0">#REF!</definedName>
    <definedName name="า33">#REF!</definedName>
    <definedName name="保存サンプル" localSheetId="1">[22]経予管98上!#REF!</definedName>
    <definedName name="保存サンプル" localSheetId="0">[22]経予管98上!#REF!</definedName>
    <definedName name="保存サンプル">[22]経予管98上!#REF!</definedName>
    <definedName name="個別原価" localSheetId="1">#REF!</definedName>
    <definedName name="個別原価" localSheetId="0">#REF!</definedName>
    <definedName name="個別原価">#REF!</definedName>
    <definedName name="入力" localSheetId="1">[24]!入力</definedName>
    <definedName name="入力" localSheetId="0">[24]!入力</definedName>
    <definedName name="入力">[24]!入力</definedName>
    <definedName name="出力" localSheetId="1">[24]!出力</definedName>
    <definedName name="出力" localSheetId="0">[24]!出力</definedName>
    <definedName name="出力">[24]!出力</definedName>
    <definedName name="原価予実" localSheetId="1">#REF!</definedName>
    <definedName name="原価予実" localSheetId="0">#REF!</definedName>
    <definedName name="原価予実">#REF!</definedName>
    <definedName name="固変分析" localSheetId="1">#REF!</definedName>
    <definedName name="固変分析" localSheetId="0">#REF!</definedName>
    <definedName name="固変分析">#REF!</definedName>
    <definedName name="損益予実" localSheetId="1">#REF!</definedName>
    <definedName name="損益予実" localSheetId="0">#REF!</definedName>
    <definedName name="損益予実">#REF!</definedName>
    <definedName name="月報" localSheetId="1">#REF!</definedName>
    <definedName name="月報" localSheetId="0">#REF!</definedName>
    <definedName name="月報">#REF!</definedName>
    <definedName name="条件" localSheetId="1">[24]!条件</definedName>
    <definedName name="条件" localSheetId="0">[24]!条件</definedName>
    <definedName name="条件">[24]!条件</definedName>
    <definedName name="板厚database" localSheetId="1">#REF!</definedName>
    <definedName name="板厚database" localSheetId="0">#REF!</definedName>
    <definedName name="板厚database">#REF!</definedName>
    <definedName name="板厚databaseei" localSheetId="1">#REF!</definedName>
    <definedName name="板厚databaseei" localSheetId="0">#REF!</definedName>
    <definedName name="板厚databaseei">#REF!</definedName>
    <definedName name="海外出張" localSheetId="1">[25]経予営98上!#REF!</definedName>
    <definedName name="海外出張" localSheetId="0">[25]経予営98上!#REF!</definedName>
    <definedName name="海外出張">[25]経予営98上!#REF!</definedName>
    <definedName name="消工費" localSheetId="1">[25]経予営98上!#REF!</definedName>
    <definedName name="消工費" localSheetId="0">[25]経予営98上!#REF!</definedName>
    <definedName name="消工費">[25]経予営98上!#REF!</definedName>
    <definedName name="版権料" localSheetId="1">[22]経予管98上!#REF!</definedName>
    <definedName name="版権料" localSheetId="0">[22]経予管98上!#REF!</definedName>
    <definedName name="版権料">[22]経予管98上!#REF!</definedName>
    <definedName name="登記登録料" localSheetId="1">[22]経予管98上!#REF!</definedName>
    <definedName name="登記登録料" localSheetId="0">[22]経予管98上!#REF!</definedName>
    <definedName name="登記登録料">[22]経予管98上!#REF!</definedName>
    <definedName name="総括" localSheetId="1">#REF!</definedName>
    <definedName name="総括" localSheetId="0">#REF!</definedName>
    <definedName name="総括">#REF!</definedName>
    <definedName name="航空便" localSheetId="1">[25]経予営98上!#REF!</definedName>
    <definedName name="航空便" localSheetId="0">[25]経予営98上!#REF!</definedName>
    <definedName name="航空便">[25]経予営98上!#REF!</definedName>
    <definedName name="試作用金型" localSheetId="1">[22]経予管98上!#REF!</definedName>
    <definedName name="試作用金型" localSheetId="0">[22]経予管98上!#REF!</definedName>
    <definedName name="試作用金型">[22]経予管98上!#REF!</definedName>
    <definedName name="試作研究費計" localSheetId="1">[22]経予管98上!#REF!</definedName>
    <definedName name="試作研究費計" localSheetId="0">[22]経予管98上!#REF!</definedName>
    <definedName name="試作研究費計">[22]経予管98上!#REF!</definedName>
    <definedName name="調整項目１">[26]貸倒２!$C$5,[26]貸倒２!$C$5:$C$14,[26]貸倒２!$B$4:$B$14</definedName>
    <definedName name="調整項目２">[26]貸倒２!$B$25,[26]貸倒２!$B$25,[26]貸倒２!$B$27,[26]貸倒２!$C$20:$C$27,[26]貸倒２!$D$20:$D$27,[26]貸倒２!$A$27</definedName>
    <definedName name="調整項目３" localSheetId="1">[26]貸倒２!$C$33,[26]貸倒２!#REF!,[26]貸倒２!#REF!,[26]貸倒２!$D$34,[26]貸倒２!$D$35,[26]貸倒２!$D$36,[26]貸倒２!$B$33</definedName>
    <definedName name="調整項目３" localSheetId="0">[26]貸倒２!$C$33,[26]貸倒２!#REF!,[26]貸倒２!#REF!,[26]貸倒２!$D$34,[26]貸倒２!$D$35,[26]貸倒２!$D$36,[26]貸倒２!$B$33</definedName>
    <definedName name="調整項目３">[26]貸倒２!$C$33,[26]貸倒２!#REF!,[26]貸倒２!#REF!,[26]貸倒２!$D$34,[26]貸倒２!$D$35,[26]貸倒２!$D$36,[26]貸倒２!$B$33</definedName>
    <definedName name="調査サンプル" localSheetId="1">[22]経予管98上!#REF!</definedName>
    <definedName name="調査サンプル" localSheetId="0">[22]経予管98上!#REF!</definedName>
    <definedName name="調査サンプル">[22]経予管98上!#REF!</definedName>
    <definedName name="調査レポート" localSheetId="1">[22]経予管98上!#REF!</definedName>
    <definedName name="調査レポート" localSheetId="0">[22]経予管98上!#REF!</definedName>
    <definedName name="調査レポート">[22]経予管98上!#REF!</definedName>
    <definedName name="調査費" localSheetId="1">[22]経予管98上!#REF!</definedName>
    <definedName name="調査費" localSheetId="0">[22]経予管98上!#REF!</definedName>
    <definedName name="調査費">[22]経予管98上!#REF!</definedName>
    <definedName name="調査費その他" localSheetId="1">[22]経予管98上!#REF!</definedName>
    <definedName name="調査費その他" localSheetId="0">[22]経予管98上!#REF!</definedName>
    <definedName name="調査費その他">[22]経予管98上!#REF!</definedName>
    <definedName name="車輌消耗品費" localSheetId="1">[22]経予管98上!#REF!</definedName>
    <definedName name="車輌消耗品費" localSheetId="0">[22]経予管98上!#REF!</definedName>
    <definedName name="車輌消耗品費">[22]経予管98上!#REF!</definedName>
    <definedName name="郵便料" localSheetId="1">[22]経予管98上!#REF!</definedName>
    <definedName name="郵便料" localSheetId="0">[22]経予管98上!#REF!</definedName>
    <definedName name="郵便料">[22]経予管98上!#REF!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6" l="1"/>
  <c r="D5" i="26"/>
  <c r="D6" i="26"/>
  <c r="D15" i="26"/>
  <c r="D16" i="26"/>
  <c r="D17" i="26"/>
  <c r="D3" i="26"/>
  <c r="C3" i="26"/>
  <c r="C4" i="26"/>
  <c r="C5" i="26"/>
  <c r="C6" i="26"/>
  <c r="C7" i="26"/>
  <c r="D7" i="26" s="1"/>
  <c r="C8" i="26"/>
  <c r="D8" i="26" s="1"/>
  <c r="C9" i="26"/>
  <c r="D9" i="26" s="1"/>
  <c r="C10" i="26"/>
  <c r="D10" i="26" s="1"/>
  <c r="C11" i="26"/>
  <c r="D11" i="26" s="1"/>
  <c r="C12" i="26"/>
  <c r="D12" i="26" s="1"/>
  <c r="C13" i="26"/>
  <c r="D13" i="26" s="1"/>
  <c r="C14" i="26"/>
  <c r="D14" i="26" s="1"/>
  <c r="C15" i="26"/>
  <c r="C16" i="26"/>
  <c r="C17" i="26"/>
</calcChain>
</file>

<file path=xl/sharedStrings.xml><?xml version="1.0" encoding="utf-8"?>
<sst xmlns="http://schemas.openxmlformats.org/spreadsheetml/2006/main" count="1658" uniqueCount="564">
  <si>
    <t>Project :</t>
  </si>
  <si>
    <t>SCADA</t>
  </si>
  <si>
    <t>[3.5.1]</t>
  </si>
  <si>
    <t>Line robot</t>
  </si>
  <si>
    <t>Communication
Pattern</t>
  </si>
  <si>
    <t>Source</t>
  </si>
  <si>
    <t>Destination
(R02 CPU)</t>
  </si>
  <si>
    <t>Bit device</t>
  </si>
  <si>
    <t>Word device</t>
  </si>
  <si>
    <t>shielded cable</t>
  </si>
  <si>
    <t>Link</t>
  </si>
  <si>
    <t>Point</t>
  </si>
  <si>
    <t>Device</t>
  </si>
  <si>
    <t>Destination</t>
  </si>
  <si>
    <t xml:space="preserve">● Network Diagram : </t>
  </si>
  <si>
    <t>Start</t>
  </si>
  <si>
    <t>End</t>
  </si>
  <si>
    <t>LINE</t>
  </si>
  <si>
    <t>LABEL</t>
  </si>
  <si>
    <t>Length</t>
  </si>
  <si>
    <t>Lathe Rotor</t>
  </si>
  <si>
    <t>Simple PLC communication</t>
  </si>
  <si>
    <t>192.168.3.70</t>
  </si>
  <si>
    <t>192.168.3.39</t>
  </si>
  <si>
    <t>Detail</t>
  </si>
  <si>
    <t>B</t>
  </si>
  <si>
    <t>003F</t>
  </si>
  <si>
    <t>143F</t>
  </si>
  <si>
    <t>W</t>
  </si>
  <si>
    <t>13F</t>
  </si>
  <si>
    <t>103F</t>
  </si>
  <si>
    <t>L1</t>
  </si>
  <si>
    <t>xxx</t>
  </si>
  <si>
    <t>0.7 m.</t>
  </si>
  <si>
    <t>Lathe Hub</t>
  </si>
  <si>
    <t>192.168.3.72</t>
  </si>
  <si>
    <t>153F</t>
  </si>
  <si>
    <t>113F</t>
  </si>
  <si>
    <t>L2</t>
  </si>
  <si>
    <t>…</t>
  </si>
  <si>
    <t>Lathe BMW</t>
  </si>
  <si>
    <t>192.198.3.74</t>
  </si>
  <si>
    <t>163F</t>
  </si>
  <si>
    <t>123F</t>
  </si>
  <si>
    <t>L3</t>
  </si>
  <si>
    <t>0.85 m.</t>
  </si>
  <si>
    <t>Lathe Solid 1</t>
  </si>
  <si>
    <t>192.168.3.78</t>
  </si>
  <si>
    <t>173F</t>
  </si>
  <si>
    <t>133F</t>
  </si>
  <si>
    <t>L4</t>
  </si>
  <si>
    <t>9.8 m.</t>
  </si>
  <si>
    <t>Lathe Solid 2</t>
  </si>
  <si>
    <t>192.168.3.76</t>
  </si>
  <si>
    <t>183F</t>
  </si>
  <si>
    <t>L5</t>
  </si>
  <si>
    <t>Press 630T</t>
  </si>
  <si>
    <t>192.168.3.80</t>
  </si>
  <si>
    <t>193F</t>
  </si>
  <si>
    <t>L6</t>
  </si>
  <si>
    <t>1.1 m.</t>
  </si>
  <si>
    <t>L7</t>
  </si>
  <si>
    <t>0.5 m.</t>
  </si>
  <si>
    <t>L8</t>
  </si>
  <si>
    <t>1.0 m.</t>
  </si>
  <si>
    <t>L9</t>
  </si>
  <si>
    <t>5.5 m.</t>
  </si>
  <si>
    <t>L10</t>
  </si>
  <si>
    <t>0.9 m.</t>
  </si>
  <si>
    <t>L11</t>
  </si>
  <si>
    <t>0.6 m.</t>
  </si>
  <si>
    <t>L12</t>
  </si>
  <si>
    <t>1.3 m.</t>
  </si>
  <si>
    <t>L13</t>
  </si>
  <si>
    <t>0.35 m.</t>
  </si>
  <si>
    <t>L14</t>
  </si>
  <si>
    <t>30 m.</t>
  </si>
  <si>
    <t>L15</t>
  </si>
  <si>
    <t>1.15 m.</t>
  </si>
  <si>
    <t>L16</t>
  </si>
  <si>
    <t>7 m.</t>
  </si>
  <si>
    <t>L17</t>
  </si>
  <si>
    <t>1.4 m.</t>
  </si>
  <si>
    <t>L18</t>
  </si>
  <si>
    <t>0.45 m.</t>
  </si>
  <si>
    <t>L19</t>
  </si>
  <si>
    <t>L20</t>
  </si>
  <si>
    <t>15 m.</t>
  </si>
  <si>
    <t>L21</t>
  </si>
  <si>
    <t>L22</t>
  </si>
  <si>
    <t>L23</t>
  </si>
  <si>
    <t>L24</t>
  </si>
  <si>
    <t>L25</t>
  </si>
  <si>
    <t>L26</t>
  </si>
  <si>
    <t>L27</t>
  </si>
  <si>
    <t>5 m.</t>
  </si>
  <si>
    <t>L28</t>
  </si>
  <si>
    <t>L29</t>
  </si>
  <si>
    <t>1 m.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</si>
  <si>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</si>
  <si>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</si>
  <si>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</si>
  <si>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</si>
  <si>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</si>
  <si>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</si>
  <si>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</si>
  <si>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</si>
  <si>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</si>
  <si>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</si>
  <si>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</si>
  <si>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</si>
  <si>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</si>
  <si>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 xml:space="preserve">5 m. 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</si>
  <si>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</si>
  <si>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</si>
  <si>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</si>
  <si>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</si>
  <si>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</si>
  <si>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</si>
  <si>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</si>
  <si>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</si>
  <si>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</si>
  <si>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</si>
  <si>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</si>
  <si>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</si>
  <si>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</si>
  <si>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</si>
  <si>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</si>
  <si>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</si>
  <si>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</si>
  <si>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</si>
  <si>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 xml:space="preserve">HMI (10) </t>
  </si>
  <si>
    <t>192.168.3.81</t>
  </si>
  <si>
    <t>HMI line Press 630T</t>
  </si>
  <si>
    <t>Q03UDV (10)</t>
  </si>
  <si>
    <t>Robot PLC line press 630T</t>
  </si>
  <si>
    <t>HUB(10)</t>
  </si>
  <si>
    <t>Ethernet / CCLIEF -Basic-Robot press 630T</t>
  </si>
  <si>
    <t xml:space="preserve">HMI (9) </t>
  </si>
  <si>
    <t>192.168.3.77</t>
  </si>
  <si>
    <t>HMI line Solid 2</t>
  </si>
  <si>
    <t>FX5U (9)</t>
  </si>
  <si>
    <t>Robot PLC line Solid 2</t>
  </si>
  <si>
    <t>HUB (9)</t>
  </si>
  <si>
    <t>Ethernet / CCLIEF - Basic - Robot lathe line Solid 2</t>
  </si>
  <si>
    <t>HMI (8)</t>
  </si>
  <si>
    <t>192.168.3.79</t>
  </si>
  <si>
    <t>HMI line Solid1</t>
  </si>
  <si>
    <t>FX5U (8)</t>
  </si>
  <si>
    <t>Robot PLC line Solid 1</t>
  </si>
  <si>
    <t>HUB 5P(8)</t>
  </si>
  <si>
    <t>Ethernet / CCLIEF - Basic- Robot lathe line Solid 1</t>
  </si>
  <si>
    <t>HMI (7)</t>
  </si>
  <si>
    <t>192.168.3.75</t>
  </si>
  <si>
    <t>HMI line BMW</t>
  </si>
  <si>
    <t>FX5U CPU (7)</t>
  </si>
  <si>
    <t>192.168.3.74</t>
  </si>
  <si>
    <t>Robot PLC line BMW</t>
  </si>
  <si>
    <t>HUB 5P6</t>
  </si>
  <si>
    <t xml:space="preserve"> </t>
  </si>
  <si>
    <t>Ethernet / CCLIEF - Basic- Robot lathe line BMW</t>
  </si>
  <si>
    <t>HMI (6)</t>
  </si>
  <si>
    <t>192.168.3.73</t>
  </si>
  <si>
    <t>HMI line Hub</t>
  </si>
  <si>
    <t>FX5U CPU (6)</t>
  </si>
  <si>
    <t>Robot PLC line Hub</t>
  </si>
  <si>
    <t>HUB  5P5</t>
  </si>
  <si>
    <t>Ethernet / CCIEF-Basic - Robot lathe line Hub</t>
  </si>
  <si>
    <t>HMI (5)</t>
  </si>
  <si>
    <t>192.168.3.71</t>
  </si>
  <si>
    <t>HMI line Rotor</t>
  </si>
  <si>
    <t>FX5U CPU (5)</t>
  </si>
  <si>
    <t>Robot PLC line Rotor</t>
  </si>
  <si>
    <t>HUB  5P4</t>
  </si>
  <si>
    <t>Ethernet / CCIEF-Basic - Robot lathe line Rotor</t>
  </si>
  <si>
    <t>Remote Output (4)</t>
  </si>
  <si>
    <t>192.168.6.205</t>
  </si>
  <si>
    <t>Remote Output In-Stocker K5-6</t>
  </si>
  <si>
    <t>Remote Input (4)</t>
  </si>
  <si>
    <t>192.168.6.204</t>
  </si>
  <si>
    <t>Remote Input In-Stocker K5-6</t>
  </si>
  <si>
    <t>Remote I/O (4)</t>
  </si>
  <si>
    <t>192.168.6.203</t>
  </si>
  <si>
    <t>Remote I/O In-Stocker K5-6</t>
  </si>
  <si>
    <t>RCON (4)</t>
  </si>
  <si>
    <t>192.168.6.202</t>
  </si>
  <si>
    <t>Servo drive L-axis, Z-axis - K5-6</t>
  </si>
  <si>
    <t>HMI (4)</t>
  </si>
  <si>
    <t>192.168.6.201</t>
  </si>
  <si>
    <t>HMI Kondou 5-6</t>
  </si>
  <si>
    <t>FX5U CPU (4)</t>
  </si>
  <si>
    <t>192.168.6.200</t>
  </si>
  <si>
    <t>Robot PLC Kondou 5-6</t>
  </si>
  <si>
    <t>HUB 8P10</t>
  </si>
  <si>
    <t>CCIEF - Kondou 5-6</t>
  </si>
  <si>
    <t>HUB 8P9</t>
  </si>
  <si>
    <t>Ethernet / CCIEF-Basic - K5-6</t>
  </si>
  <si>
    <t>HUP 5P3</t>
  </si>
  <si>
    <t>Remote Output (3)</t>
  </si>
  <si>
    <t>192.168.3.240</t>
  </si>
  <si>
    <t>Remote Output In-Stocker K7-8</t>
  </si>
  <si>
    <t>Remote Input (3)</t>
  </si>
  <si>
    <t>192.168.3.254</t>
  </si>
  <si>
    <t>Remote Input In-Stocker K7-8</t>
  </si>
  <si>
    <t>Remote I/O (3)</t>
  </si>
  <si>
    <t>192.168.3.253</t>
  </si>
  <si>
    <t>Remote I/O In-Stocker K7-8</t>
  </si>
  <si>
    <t>RCON (3)</t>
  </si>
  <si>
    <t>192.168.3.252</t>
  </si>
  <si>
    <t>Servo drive L-axis, Z-axis - K7-8</t>
  </si>
  <si>
    <t>HMI (3)</t>
  </si>
  <si>
    <t>192.168.3.251</t>
  </si>
  <si>
    <t>HMI Kondou 7-8</t>
  </si>
  <si>
    <t>FX5U CPU (3)</t>
  </si>
  <si>
    <t>192.168.3.250</t>
  </si>
  <si>
    <t>Robot PLC Kondou 7-8</t>
  </si>
  <si>
    <t>HUB 8P8</t>
  </si>
  <si>
    <t>CCIEF - Kondou 7-8</t>
  </si>
  <si>
    <t>HUB 8P7</t>
  </si>
  <si>
    <t>Ethernet / CCIEF-Basic - K7-8</t>
  </si>
  <si>
    <t>HUP 5P2</t>
  </si>
  <si>
    <t>Remote Output (2)</t>
  </si>
  <si>
    <t>192.168.3.243</t>
  </si>
  <si>
    <t>Remote Output In-Stocker K3-4</t>
  </si>
  <si>
    <t>Remote Input (2)</t>
  </si>
  <si>
    <t>192.168.3.242</t>
  </si>
  <si>
    <t>Remote Input In-Stocker K3-4</t>
  </si>
  <si>
    <t>Remote I/O (2)</t>
  </si>
  <si>
    <t>192.168.3.241</t>
  </si>
  <si>
    <t>Remote I/O In-Stocker K3-4</t>
  </si>
  <si>
    <t>HUP 5P1</t>
  </si>
  <si>
    <t>Ethernet / CCIEF-Basic - Kondou 3-4</t>
  </si>
  <si>
    <t>HUB 8P6</t>
  </si>
  <si>
    <t>HUB 8P5</t>
  </si>
  <si>
    <t>CCIEF - Kondou 3-4</t>
  </si>
  <si>
    <t>RCON (2)</t>
  </si>
  <si>
    <t>192.168.3.40</t>
  </si>
  <si>
    <t>Servo drive L-axis, Z-axis - Kondou 3-4</t>
  </si>
  <si>
    <t>MR-J4-70GF (2)</t>
  </si>
  <si>
    <t>192.168.4.2</t>
  </si>
  <si>
    <t>Servo drive A-axis - Kondou 3-4</t>
  </si>
  <si>
    <t>HMI (2)</t>
  </si>
  <si>
    <t>192.168.4.244</t>
  </si>
  <si>
    <t>HMI - Kondou 3-4</t>
  </si>
  <si>
    <t>FX5UJ CPU</t>
  </si>
  <si>
    <t>192.168.4.247</t>
  </si>
  <si>
    <t>Robot PLC Kondou 3-4</t>
  </si>
  <si>
    <t>09</t>
  </si>
  <si>
    <t>RCON</t>
  </si>
  <si>
    <t>192.168.3.6</t>
  </si>
  <si>
    <t>Servo drive L-axis, Z-axis - DKK</t>
  </si>
  <si>
    <t>08</t>
  </si>
  <si>
    <t>MR-J4-GF</t>
  </si>
  <si>
    <t>192.168.3.1</t>
  </si>
  <si>
    <t>Servo drive A-axis - DKK</t>
  </si>
  <si>
    <t>07</t>
  </si>
  <si>
    <t>HMI</t>
  </si>
  <si>
    <t>192.168.3.245</t>
  </si>
  <si>
    <t>HMI - DKK</t>
  </si>
  <si>
    <t>06</t>
  </si>
  <si>
    <t>HUB 8P4</t>
  </si>
  <si>
    <t>Label : xxx</t>
  </si>
  <si>
    <t>Ethernet / CCIEF-Basic - DKK</t>
  </si>
  <si>
    <t>05</t>
  </si>
  <si>
    <t>HUB 8P3</t>
  </si>
  <si>
    <t>CCIEF - DKK</t>
  </si>
  <si>
    <t>04</t>
  </si>
  <si>
    <t>HUB 8P2</t>
  </si>
  <si>
    <t>Ethernet / CCIEF-Basic - Master</t>
  </si>
  <si>
    <t>03</t>
  </si>
  <si>
    <t>HUB 8P1</t>
  </si>
  <si>
    <t>CCIEF - Master</t>
  </si>
  <si>
    <t>02</t>
  </si>
  <si>
    <t>FX5U CPU</t>
  </si>
  <si>
    <t>192.168.3.246</t>
  </si>
  <si>
    <t>Robot PLC DKK</t>
  </si>
  <si>
    <t>01</t>
  </si>
  <si>
    <t>R02 CPU</t>
  </si>
  <si>
    <t>Master PLC (for all Heat line)</t>
  </si>
  <si>
    <t>[No.]</t>
  </si>
  <si>
    <t>[Name / Code]</t>
  </si>
  <si>
    <t>IP Address</t>
  </si>
  <si>
    <t>[Description / Remark]</t>
  </si>
  <si>
    <t>Back</t>
  </si>
  <si>
    <t>Project : SCADA</t>
  </si>
  <si>
    <r>
      <rPr>
        <b/>
        <sz val="11"/>
        <rFont val="Calibri"/>
        <family val="2"/>
      </rPr>
      <t>●</t>
    </r>
    <r>
      <rPr>
        <b/>
        <sz val="11"/>
        <rFont val="Arial Narrow"/>
        <family val="2"/>
      </rPr>
      <t xml:space="preserve"> Interface device list</t>
    </r>
  </si>
  <si>
    <t>Line Robot</t>
  </si>
  <si>
    <t>Description</t>
  </si>
  <si>
    <t>Machine</t>
  </si>
  <si>
    <t>Source Of Data</t>
  </si>
  <si>
    <t>Network</t>
  </si>
  <si>
    <t>PLC Source Of Data</t>
  </si>
  <si>
    <t>Data transfer</t>
  </si>
  <si>
    <t>Rotor</t>
  </si>
  <si>
    <t xml:space="preserve">Door open </t>
  </si>
  <si>
    <t>Takisawa-1</t>
  </si>
  <si>
    <t>FX5U &gt;&gt; R02</t>
  </si>
  <si>
    <t>SIMPLE COMMUNICATION</t>
  </si>
  <si>
    <t>HUB</t>
  </si>
  <si>
    <t>Takisawa-2</t>
  </si>
  <si>
    <t>SIMPLE COMMUMINICATION</t>
  </si>
  <si>
    <t>BMW</t>
  </si>
  <si>
    <t>Door open</t>
  </si>
  <si>
    <t>Takisawa-3</t>
  </si>
  <si>
    <t>Solid 1</t>
  </si>
  <si>
    <t>Okuma-7</t>
  </si>
  <si>
    <t>Solid 2</t>
  </si>
  <si>
    <t>Okuma-8</t>
  </si>
  <si>
    <t>PRESS 630T</t>
  </si>
  <si>
    <t>Count part press 630T</t>
  </si>
  <si>
    <t>Q03UDV &gt;&gt; R02</t>
  </si>
  <si>
    <t>Cycle start</t>
  </si>
  <si>
    <t>Alarm press 630T</t>
  </si>
  <si>
    <t>Alarm</t>
  </si>
  <si>
    <t>Run 630T</t>
  </si>
  <si>
    <t>Count part stocker out</t>
  </si>
  <si>
    <t>Count part robot Fanuc</t>
  </si>
  <si>
    <t>Robot Fanuc</t>
  </si>
  <si>
    <t>Takisawa-4</t>
  </si>
  <si>
    <t>Takisawa-5</t>
  </si>
  <si>
    <t>Takisawa-6</t>
  </si>
  <si>
    <t>Fanuc-8</t>
  </si>
  <si>
    <t>Fanuc-4</t>
  </si>
  <si>
    <t>Alarm robot Fanuc</t>
  </si>
  <si>
    <t>Run robot Fanuc</t>
  </si>
  <si>
    <t>Fanuc-3</t>
  </si>
  <si>
    <t>Part No. W1200-W1205</t>
  </si>
  <si>
    <t>Part No. W1300-W1305</t>
  </si>
  <si>
    <t>Part No. W1400-W1405</t>
  </si>
  <si>
    <t>A</t>
  </si>
  <si>
    <t>150A</t>
  </si>
  <si>
    <t>150B</t>
  </si>
  <si>
    <t>C</t>
  </si>
  <si>
    <t>150C</t>
  </si>
  <si>
    <t>Fanuc-7</t>
  </si>
  <si>
    <t>D</t>
  </si>
  <si>
    <t>150D</t>
  </si>
  <si>
    <t>E</t>
  </si>
  <si>
    <t>150E</t>
  </si>
  <si>
    <t>Part No. W1206-W120B</t>
  </si>
  <si>
    <t>F</t>
  </si>
  <si>
    <t>150F</t>
  </si>
  <si>
    <t>Part No. W1100-W1105</t>
  </si>
  <si>
    <t>10A</t>
  </si>
  <si>
    <t>10B</t>
  </si>
  <si>
    <t>120A</t>
  </si>
  <si>
    <t>run</t>
  </si>
  <si>
    <t>120B</t>
  </si>
  <si>
    <t>Part No. W1106-W110B</t>
  </si>
  <si>
    <t>110A</t>
  </si>
  <si>
    <t>110B</t>
  </si>
  <si>
    <t>10C</t>
  </si>
  <si>
    <t>110C</t>
  </si>
  <si>
    <t>Part No. W110C-W1111</t>
  </si>
  <si>
    <t>10D</t>
  </si>
  <si>
    <t>110D</t>
  </si>
  <si>
    <t>10E</t>
  </si>
  <si>
    <t>110E</t>
  </si>
  <si>
    <t>10F</t>
  </si>
  <si>
    <t>110F</t>
  </si>
  <si>
    <t>Part No. W1112-W1117</t>
  </si>
  <si>
    <t>Link Side</t>
  </si>
  <si>
    <t>Device name</t>
  </si>
  <si>
    <t>SB</t>
  </si>
  <si>
    <t>0000F</t>
  </si>
  <si>
    <t>SW</t>
  </si>
  <si>
    <t>RX</t>
  </si>
  <si>
    <t>0007F</t>
  </si>
  <si>
    <t>RY</t>
  </si>
  <si>
    <t>RWr</t>
  </si>
  <si>
    <t>RWw</t>
  </si>
  <si>
    <t>0011F</t>
  </si>
  <si>
    <t>0019F</t>
  </si>
  <si>
    <t>0003F</t>
  </si>
  <si>
    <t>0029F</t>
  </si>
  <si>
    <t>0006F</t>
  </si>
  <si>
    <t>0037F</t>
  </si>
  <si>
    <t>0041F</t>
  </si>
  <si>
    <t>000A7</t>
  </si>
  <si>
    <t>0049F</t>
  </si>
  <si>
    <t>000A8</t>
  </si>
  <si>
    <t>000AF</t>
  </si>
  <si>
    <t>0059F</t>
  </si>
  <si>
    <t>000B0</t>
  </si>
  <si>
    <t>000DF</t>
  </si>
  <si>
    <t>CPU Side</t>
  </si>
  <si>
    <t>000FF</t>
  </si>
  <si>
    <t>003FF</t>
  </si>
  <si>
    <t>0067F</t>
  </si>
  <si>
    <t>006FF</t>
  </si>
  <si>
    <t>000EF</t>
  </si>
  <si>
    <t>0079F</t>
  </si>
  <si>
    <t>0089F</t>
  </si>
  <si>
    <t>000F0</t>
  </si>
  <si>
    <t>0014F</t>
  </si>
  <si>
    <t>0097F</t>
  </si>
  <si>
    <t>009FF</t>
  </si>
  <si>
    <t>0015F</t>
  </si>
  <si>
    <t>0109F</t>
  </si>
  <si>
    <t>0119F</t>
  </si>
  <si>
    <t>0018F</t>
  </si>
  <si>
    <t>001BF</t>
  </si>
  <si>
    <t>Part No. W1500-W150A</t>
  </si>
  <si>
    <t>USER NAME W150B-W1510</t>
  </si>
  <si>
    <t>IDEL 630T</t>
  </si>
  <si>
    <t>IDEL ROBOT FANUC</t>
  </si>
  <si>
    <t xml:space="preserve">ALARM CODE </t>
  </si>
  <si>
    <t>PRESS 630T &amp; ROBOT FANUC</t>
  </si>
  <si>
    <t>[PLC1]M000007</t>
  </si>
  <si>
    <t>FULL CONVEYOR OUT</t>
  </si>
  <si>
    <t>[PLC1]M000460</t>
  </si>
  <si>
    <t>ALARM REED PUSHER FWD X28</t>
  </si>
  <si>
    <t>[PLC1]M000461</t>
  </si>
  <si>
    <t>ALARM REED PUSHER REV X29</t>
  </si>
  <si>
    <t>[PLC1]M000462</t>
  </si>
  <si>
    <t>ALARM DETECT PART DOUBLE X20</t>
  </si>
  <si>
    <t>[PLC1]M000463</t>
  </si>
  <si>
    <t>ALARM PROX GP L NOT ON X3B</t>
  </si>
  <si>
    <t>[PLC1]M000464</t>
  </si>
  <si>
    <t>ALARM REED GP L DOWN NOT ON X2D</t>
  </si>
  <si>
    <t>[PLC1]M000465</t>
  </si>
  <si>
    <t>ALARM REED GP L UP NOT ON X2C</t>
  </si>
  <si>
    <t>[PLC1]M000466</t>
  </si>
  <si>
    <t>[PLC1]M000467</t>
  </si>
  <si>
    <t>ALARM PRESS NOT READY X74</t>
  </si>
  <si>
    <t>[PLC1]M000468</t>
  </si>
  <si>
    <t>ALARM PROX GP R ON X3C</t>
  </si>
  <si>
    <t>[PLC1]M000469</t>
  </si>
  <si>
    <t>ALARM PROX GP R NOT ON X3C</t>
  </si>
  <si>
    <t>[PLC1]M000470</t>
  </si>
  <si>
    <t>[PLC1]M000471</t>
  </si>
  <si>
    <t>ALARM REED CYL. R UP NOT ON X2E</t>
  </si>
  <si>
    <t>[PLC1]M000472</t>
  </si>
  <si>
    <t>[PLC1]M000473</t>
  </si>
  <si>
    <t>ALARM UNLOAD PUSHER NOT FWD X67</t>
  </si>
  <si>
    <t>[PLC1]M000474</t>
  </si>
  <si>
    <t>[PLC1]M000475</t>
  </si>
  <si>
    <t>ALARM REED CYL. L DOWN NOT ON X2D</t>
  </si>
  <si>
    <t>[PLC1]M000476</t>
  </si>
  <si>
    <t>[PLC1]M000477</t>
  </si>
  <si>
    <t>ALARM REED GP R UP NOT ON X2F</t>
  </si>
  <si>
    <t>[PLC1]M000478</t>
  </si>
  <si>
    <t>ALARM REED CYL. L UP NOT ON X2A</t>
  </si>
  <si>
    <t>[PLC1]M000479</t>
  </si>
  <si>
    <t>[PLC1]M000480</t>
  </si>
  <si>
    <t>[PLC1]M000481</t>
  </si>
  <si>
    <t>ALARM CHECK POS1 X30</t>
  </si>
  <si>
    <t>[PLC1]M000482</t>
  </si>
  <si>
    <t>ALARM PRESS NOT READY X78</t>
  </si>
  <si>
    <t>[PLC1]M000483</t>
  </si>
  <si>
    <t>[PLC1]M000484</t>
  </si>
  <si>
    <t>ALM REED UNLOAD PUSH REV NOT ON X66</t>
  </si>
  <si>
    <t>[PLC1]M000485</t>
  </si>
  <si>
    <t>ALM PROX UNLOAD GP ON X68</t>
  </si>
  <si>
    <t>[PLC1]M000486</t>
  </si>
  <si>
    <t>ALM PROX UNLOAD NOT ON X68</t>
  </si>
  <si>
    <t>[PLC1]M000487</t>
  </si>
  <si>
    <t>ALM REED UNLOAD GP MAG DOWN NOT X63</t>
  </si>
  <si>
    <t>[PLC1]M000488</t>
  </si>
  <si>
    <t>ALM REED UNLOAD CYL UP NOT ON X64</t>
  </si>
  <si>
    <t>[PLC1]M000489</t>
  </si>
  <si>
    <t>[PLC1]M000490</t>
  </si>
  <si>
    <t>ALM REED UNLOAD CYL. REV NOT ON X65</t>
  </si>
  <si>
    <t>[PLC1]M000491</t>
  </si>
  <si>
    <t>[PLC1]M000492</t>
  </si>
  <si>
    <t>ALM REED GP MAG UP NOT ON X62</t>
  </si>
  <si>
    <t>[PLC1]M000493</t>
  </si>
  <si>
    <t>ALM PROX UNLOAD ON X68</t>
  </si>
  <si>
    <t>[PLC1]M000494</t>
  </si>
  <si>
    <t>ALM REED UNLOAD CYL FWD NOT ON X69</t>
  </si>
  <si>
    <t>[PLC1]M000495</t>
  </si>
  <si>
    <t>ALM CHECK POS2 X32</t>
  </si>
  <si>
    <t>[PLC1]M000496</t>
  </si>
  <si>
    <t>ALM CHECK POS3 X33</t>
  </si>
  <si>
    <t>[PLC1]M000497</t>
  </si>
  <si>
    <t>ALM PRESS NOT BOTTOM X75</t>
  </si>
  <si>
    <t>[PLC1]M000498</t>
  </si>
  <si>
    <t>ALM SCRAP ON CONVEYOR</t>
  </si>
  <si>
    <t>[PLC1]M000558</t>
  </si>
  <si>
    <t>ALARM FLIP CLOSE</t>
  </si>
  <si>
    <t>[PLC1]M000556</t>
  </si>
  <si>
    <t>ALARM FLIP DOWN</t>
  </si>
  <si>
    <t>[PLC1]M000557</t>
  </si>
  <si>
    <t>ALARM MAG</t>
  </si>
  <si>
    <t>[PLC1]M000540</t>
  </si>
  <si>
    <t>ALARM PUSHER NOT REVERSE</t>
  </si>
  <si>
    <t>BIT</t>
  </si>
  <si>
    <t>ALARM DESCRIPTION</t>
  </si>
  <si>
    <t>ALARM CODE</t>
  </si>
  <si>
    <t>M652</t>
  </si>
  <si>
    <t>ALARM COLISION ROBOT FANUC</t>
  </si>
  <si>
    <t>M598</t>
  </si>
  <si>
    <t>ALARM DOUBLE PART ROBOT FANUC</t>
  </si>
  <si>
    <t>M599</t>
  </si>
  <si>
    <t>ALARM CAM ROBOT FANUC</t>
  </si>
  <si>
    <t>M600</t>
  </si>
  <si>
    <t>ALARM CAN NOT PICK PART ROBOT FANUC</t>
  </si>
  <si>
    <t>OUTTIME</t>
  </si>
  <si>
    <t>d100</t>
  </si>
  <si>
    <t>d1</t>
  </si>
  <si>
    <t>d0</t>
  </si>
  <si>
    <t>Part No. W1000-W1009</t>
  </si>
  <si>
    <t>W100A</t>
  </si>
  <si>
    <t>W100B</t>
  </si>
  <si>
    <t>W100C</t>
  </si>
  <si>
    <t>W100D</t>
  </si>
  <si>
    <t>W100E</t>
  </si>
  <si>
    <t>W100F</t>
  </si>
  <si>
    <t>W1010</t>
  </si>
  <si>
    <t>W1011</t>
  </si>
  <si>
    <t>W1012</t>
  </si>
  <si>
    <t>W1013</t>
  </si>
  <si>
    <t>W1014</t>
  </si>
  <si>
    <t>W10A</t>
  </si>
  <si>
    <t>W10B</t>
  </si>
  <si>
    <t>W10C</t>
  </si>
  <si>
    <t>W10D</t>
  </si>
  <si>
    <t>W10E</t>
  </si>
  <si>
    <t>W10F</t>
  </si>
  <si>
    <t>W110</t>
  </si>
  <si>
    <t>W111</t>
  </si>
  <si>
    <t>W112</t>
  </si>
  <si>
    <t>W113</t>
  </si>
  <si>
    <t>Part No. W100A-W1013</t>
  </si>
  <si>
    <t>W114</t>
  </si>
  <si>
    <t>W115</t>
  </si>
  <si>
    <t>W116</t>
  </si>
  <si>
    <t>W117</t>
  </si>
  <si>
    <t>W118</t>
  </si>
  <si>
    <t>W119</t>
  </si>
  <si>
    <t>W1015</t>
  </si>
  <si>
    <t>W1016</t>
  </si>
  <si>
    <t>W1017</t>
  </si>
  <si>
    <t>W1018</t>
  </si>
  <si>
    <t>W1019</t>
  </si>
  <si>
    <t>USER LOGIN</t>
  </si>
  <si>
    <t>RESET PLC</t>
  </si>
  <si>
    <t>SAFETY PLUG FANUC</t>
  </si>
  <si>
    <t>SETTING 630T</t>
  </si>
  <si>
    <t>NO PLAN 630T</t>
  </si>
  <si>
    <t>WAIT BASKET 630T</t>
  </si>
  <si>
    <t>OTHER 630T</t>
  </si>
  <si>
    <t>CHANGE NEW BASKET FANUC</t>
  </si>
  <si>
    <t>NO PLAN FANUC</t>
  </si>
  <si>
    <t>PART FALL FANUC</t>
  </si>
  <si>
    <t xml:space="preserve">PROBLEM ROBOT FANUC </t>
  </si>
  <si>
    <t>OTHER FANUC</t>
  </si>
  <si>
    <t>M582</t>
  </si>
  <si>
    <t>PLAN</t>
  </si>
  <si>
    <t>M620</t>
  </si>
  <si>
    <t>IDLE FULL STACK FANUC</t>
  </si>
  <si>
    <t>IDLE CHANGE STACK 630T</t>
  </si>
  <si>
    <t>M625</t>
  </si>
  <si>
    <t>ab</t>
  </si>
  <si>
    <t>kl</t>
  </si>
  <si>
    <t>cd</t>
  </si>
  <si>
    <t>op</t>
  </si>
  <si>
    <t>ef</t>
  </si>
  <si>
    <t>st</t>
  </si>
  <si>
    <t>qr</t>
  </si>
  <si>
    <t>gh</t>
  </si>
  <si>
    <t>mn</t>
  </si>
  <si>
    <t>ij</t>
  </si>
  <si>
    <t>2/21/25 11:35:27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</si>
</sst>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"/>
    <numFmt numFmtId="165" formatCode="&quot;[&quot;##.##.##&quot;]&quot;"/>
    <numFmt numFmtId="172" formatCode="[$-F800]dddd\,\ mmmm\ dd\,\ yyyy"/>
    <numFmt numFmtId="175" formatCode="m/d/yy\ h:mm:ss"/>
  </numFmts>
  <fonts count="14">
    <font>
      <sz val="11"/>
      <name val="Calibri"/>
    </font>
    <font>
      <b/>
      <sz val="11"/>
      <name val="Calibri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4"/>
      <name val="Cordia New"/>
      <family val="2"/>
    </font>
    <font>
      <sz val="10"/>
      <name val="Arial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b/>
      <sz val="11"/>
      <color rgb="FF00B050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</font>
    <font>
      <b/>
      <u/>
      <sz val="14"/>
      <color theme="10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CCFF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/>
      <top style="thin">
        <color indexed="64"/>
      </top>
      <bottom style="dotted">
        <color rgb="FF000000"/>
      </bottom>
      <diagonal/>
    </border>
    <border>
      <left/>
      <right style="thin">
        <color auto="1"/>
      </right>
      <top style="thin">
        <color indexed="64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auto="1"/>
      </right>
      <top style="dotted">
        <color rgb="FF000000"/>
      </top>
      <bottom style="dotted">
        <color rgb="FF000000"/>
      </bottom>
      <diagonal/>
    </border>
    <border>
      <left/>
      <right style="thin">
        <color auto="1"/>
      </right>
      <top/>
      <bottom style="dotted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hair">
        <color auto="1"/>
      </top>
      <bottom style="dotted">
        <color rgb="FF000000"/>
      </bottom>
      <diagonal/>
    </border>
    <border>
      <left/>
      <right/>
      <top style="hair">
        <color auto="1"/>
      </top>
      <bottom style="dotted">
        <color rgb="FF000000"/>
      </bottom>
      <diagonal/>
    </border>
    <border>
      <left/>
      <right style="thin">
        <color indexed="64"/>
      </right>
      <top style="hair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/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thin">
        <color indexed="64"/>
      </top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dotted">
        <color rgb="FF000000"/>
      </bottom>
      <diagonal/>
    </border>
    <border>
      <left style="thin">
        <color auto="1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dotted">
        <color rgb="FF000000"/>
      </bottom>
      <diagonal/>
    </border>
    <border>
      <left style="thin">
        <color rgb="FF000000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tted">
        <color rgb="FF000000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dotted">
        <color rgb="FF000000"/>
      </top>
      <bottom style="thin">
        <color indexed="64"/>
      </bottom>
      <diagonal/>
    </border>
    <border>
      <left/>
      <right/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auto="1"/>
      </right>
      <top/>
      <bottom style="dotted">
        <color rgb="FF000000"/>
      </bottom>
      <diagonal/>
    </border>
    <border>
      <left/>
      <right style="thin">
        <color auto="1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hair">
        <color indexed="64"/>
      </bottom>
      <diagonal/>
    </border>
    <border>
      <left/>
      <right/>
      <top style="dotted">
        <color rgb="FF000000"/>
      </top>
      <bottom style="hair">
        <color indexed="64"/>
      </bottom>
      <diagonal/>
    </border>
    <border>
      <left/>
      <right style="thin">
        <color rgb="FF000000"/>
      </right>
      <top style="dotted">
        <color rgb="FF000000"/>
      </top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4">
    <xf numFmtId="164" fontId="0" fillId="0" borderId="0">
      <alignment vertical="center"/>
    </xf>
    <xf numFmtId="0" fontId="4" fillId="0" borderId="0"/>
    <xf numFmtId="0" fontId="5" fillId="0" borderId="0"/>
    <xf numFmtId="164" fontId="10" fillId="0" borderId="0" applyNumberFormat="0" applyFill="0" applyBorder="0" applyAlignment="0" applyProtection="0">
      <alignment vertical="center"/>
    </xf>
  </cellStyleXfs>
  <cellXfs count="256">
    <xf numFmtId="164" fontId="0" fillId="0" borderId="0" xfId="0">
      <alignment vertical="center"/>
    </xf>
    <xf numFmtId="0" fontId="2" fillId="0" borderId="0" xfId="0" applyNumberFormat="1" applyFont="1">
      <alignment vertical="center"/>
    </xf>
    <xf numFmtId="0" fontId="2" fillId="0" borderId="0" xfId="0" applyNumberFormat="1" applyFont="1" applyAlignment="1">
      <alignment horizontal="centerContinuous" vertical="center"/>
    </xf>
    <xf numFmtId="0" fontId="2" fillId="0" borderId="2" xfId="0" applyNumberFormat="1" applyFont="1" applyBorder="1">
      <alignment vertical="center"/>
    </xf>
    <xf numFmtId="0" fontId="2" fillId="0" borderId="5" xfId="0" applyNumberFormat="1" applyFont="1" applyBorder="1">
      <alignment vertical="center"/>
    </xf>
    <xf numFmtId="0" fontId="3" fillId="0" borderId="0" xfId="0" applyNumberFormat="1" applyFont="1" applyProtection="1">
      <alignment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2" fillId="0" borderId="5" xfId="0" applyNumberFormat="1" applyFont="1" applyBorder="1" applyProtection="1">
      <alignment vertical="center"/>
      <protection locked="0"/>
    </xf>
    <xf numFmtId="0" fontId="2" fillId="0" borderId="0" xfId="0" applyNumberFormat="1" applyFont="1" applyAlignment="1" applyProtection="1">
      <alignment horizontal="centerContinuous" vertical="center"/>
      <protection locked="0"/>
    </xf>
    <xf numFmtId="0" fontId="2" fillId="0" borderId="1" xfId="0" applyNumberFormat="1" applyFont="1" applyBorder="1" applyProtection="1">
      <alignment vertical="center"/>
      <protection locked="0"/>
    </xf>
    <xf numFmtId="0" fontId="2" fillId="0" borderId="2" xfId="0" applyNumberFormat="1" applyFont="1" applyBorder="1" applyProtection="1">
      <alignment vertical="center"/>
      <protection locked="0"/>
    </xf>
    <xf numFmtId="0" fontId="2" fillId="0" borderId="3" xfId="0" applyNumberFormat="1" applyFont="1" applyBorder="1" applyProtection="1">
      <alignment vertical="center"/>
      <protection locked="0"/>
    </xf>
    <xf numFmtId="0" fontId="2" fillId="0" borderId="4" xfId="0" applyNumberFormat="1" applyFont="1" applyBorder="1" applyProtection="1">
      <alignment vertical="center"/>
      <protection locked="0"/>
    </xf>
    <xf numFmtId="0" fontId="2" fillId="0" borderId="6" xfId="0" applyNumberFormat="1" applyFont="1" applyBorder="1" applyProtection="1">
      <alignment vertical="center"/>
      <protection locked="0"/>
    </xf>
    <xf numFmtId="0" fontId="2" fillId="0" borderId="0" xfId="0" applyNumberFormat="1" applyFont="1" applyAlignment="1">
      <alignment horizontal="center" vertical="center"/>
    </xf>
    <xf numFmtId="0" fontId="2" fillId="0" borderId="7" xfId="0" applyNumberFormat="1" applyFont="1" applyBorder="1" applyAlignment="1" applyProtection="1">
      <alignment horizontal="left" vertical="center"/>
      <protection locked="0"/>
    </xf>
    <xf numFmtId="0" fontId="3" fillId="0" borderId="2" xfId="0" applyNumberFormat="1" applyFont="1" applyBorder="1" applyProtection="1">
      <alignment vertical="center"/>
      <protection locked="0"/>
    </xf>
    <xf numFmtId="0" fontId="2" fillId="0" borderId="27" xfId="0" applyNumberFormat="1" applyFont="1" applyBorder="1" applyProtection="1">
      <alignment vertical="center"/>
      <protection locked="0"/>
    </xf>
    <xf numFmtId="165" fontId="2" fillId="0" borderId="2" xfId="0" applyNumberFormat="1" applyFont="1" applyBorder="1" applyAlignment="1">
      <alignment horizontal="right" vertical="center"/>
    </xf>
    <xf numFmtId="0" fontId="2" fillId="0" borderId="32" xfId="0" applyNumberFormat="1" applyFont="1" applyBorder="1" applyProtection="1">
      <alignment vertical="center"/>
      <protection locked="0"/>
    </xf>
    <xf numFmtId="0" fontId="2" fillId="0" borderId="12" xfId="0" applyNumberFormat="1" applyFont="1" applyBorder="1" applyProtection="1">
      <alignment vertical="center"/>
      <protection locked="0"/>
    </xf>
    <xf numFmtId="0" fontId="3" fillId="0" borderId="28" xfId="0" applyNumberFormat="1" applyFont="1" applyBorder="1" applyAlignment="1" applyProtection="1">
      <alignment horizontal="center" vertical="center"/>
      <protection locked="0"/>
    </xf>
    <xf numFmtId="0" fontId="2" fillId="0" borderId="31" xfId="0" applyNumberFormat="1" applyFont="1" applyBorder="1">
      <alignment vertical="center"/>
    </xf>
    <xf numFmtId="0" fontId="6" fillId="0" borderId="31" xfId="0" applyNumberFormat="1" applyFont="1" applyBorder="1" applyAlignment="1">
      <alignment horizontal="centerContinuous" vertical="center"/>
    </xf>
    <xf numFmtId="0" fontId="2" fillId="0" borderId="36" xfId="0" applyNumberFormat="1" applyFont="1" applyBorder="1">
      <alignment vertical="center"/>
    </xf>
    <xf numFmtId="0" fontId="6" fillId="0" borderId="14" xfId="0" applyNumberFormat="1" applyFont="1" applyBorder="1" applyAlignment="1">
      <alignment horizontal="centerContinuous" vertical="center"/>
    </xf>
    <xf numFmtId="0" fontId="7" fillId="0" borderId="31" xfId="0" applyNumberFormat="1" applyFont="1" applyBorder="1" applyAlignment="1">
      <alignment horizontal="right" vertical="center"/>
    </xf>
    <xf numFmtId="0" fontId="7" fillId="0" borderId="11" xfId="0" applyNumberFormat="1" applyFont="1" applyBorder="1" applyAlignment="1">
      <alignment horizontal="right" vertical="center"/>
    </xf>
    <xf numFmtId="0" fontId="2" fillId="2" borderId="36" xfId="0" applyNumberFormat="1" applyFont="1" applyFill="1" applyBorder="1" applyAlignment="1">
      <alignment horizontal="right" vertical="center"/>
    </xf>
    <xf numFmtId="0" fontId="2" fillId="0" borderId="31" xfId="0" applyNumberFormat="1" applyFont="1" applyBorder="1" applyAlignment="1">
      <alignment horizontal="center" vertical="center"/>
    </xf>
    <xf numFmtId="0" fontId="2" fillId="3" borderId="31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Protection="1">
      <alignment vertical="center"/>
      <protection locked="0"/>
    </xf>
    <xf numFmtId="0" fontId="6" fillId="3" borderId="31" xfId="0" applyNumberFormat="1" applyFont="1" applyFill="1" applyBorder="1" applyAlignment="1">
      <alignment horizontal="centerContinuous" vertical="center"/>
    </xf>
    <xf numFmtId="0" fontId="6" fillId="3" borderId="14" xfId="0" applyNumberFormat="1" applyFont="1" applyFill="1" applyBorder="1" applyAlignment="1">
      <alignment horizontal="centerContinuous" vertical="center"/>
    </xf>
    <xf numFmtId="0" fontId="6" fillId="2" borderId="31" xfId="0" applyNumberFormat="1" applyFont="1" applyFill="1" applyBorder="1" applyAlignment="1">
      <alignment horizontal="right" vertical="center"/>
    </xf>
    <xf numFmtId="0" fontId="6" fillId="2" borderId="14" xfId="0" applyNumberFormat="1" applyFont="1" applyFill="1" applyBorder="1" applyAlignment="1">
      <alignment horizontal="right" vertical="center"/>
    </xf>
    <xf numFmtId="0" fontId="2" fillId="2" borderId="40" xfId="0" applyNumberFormat="1" applyFont="1" applyFill="1" applyBorder="1" applyAlignment="1">
      <alignment horizontal="center" vertical="center"/>
    </xf>
    <xf numFmtId="0" fontId="2" fillId="2" borderId="48" xfId="0" applyNumberFormat="1" applyFont="1" applyFill="1" applyBorder="1" applyAlignment="1">
      <alignment horizontal="center" vertical="center"/>
    </xf>
    <xf numFmtId="0" fontId="2" fillId="2" borderId="31" xfId="0" applyNumberFormat="1" applyFont="1" applyFill="1" applyBorder="1" applyAlignment="1">
      <alignment horizontal="center" vertical="center"/>
    </xf>
    <xf numFmtId="0" fontId="2" fillId="0" borderId="50" xfId="0" applyNumberFormat="1" applyFont="1" applyBorder="1" applyAlignment="1" applyProtection="1">
      <alignment horizontal="left" vertical="center"/>
      <protection locked="0"/>
    </xf>
    <xf numFmtId="0" fontId="2" fillId="0" borderId="26" xfId="0" applyNumberFormat="1" applyFont="1" applyBorder="1">
      <alignment vertical="center"/>
    </xf>
    <xf numFmtId="0" fontId="2" fillId="0" borderId="28" xfId="0" applyNumberFormat="1" applyFont="1" applyBorder="1">
      <alignment vertical="center"/>
    </xf>
    <xf numFmtId="0" fontId="2" fillId="3" borderId="26" xfId="0" applyNumberFormat="1" applyFont="1" applyFill="1" applyBorder="1" applyProtection="1">
      <alignment vertical="center"/>
      <protection locked="0"/>
    </xf>
    <xf numFmtId="0" fontId="2" fillId="0" borderId="63" xfId="0" applyNumberFormat="1" applyFont="1" applyBorder="1" applyAlignment="1" applyProtection="1">
      <alignment horizontal="center" vertical="center"/>
      <protection locked="0"/>
    </xf>
    <xf numFmtId="0" fontId="2" fillId="0" borderId="61" xfId="0" applyNumberFormat="1" applyFont="1" applyBorder="1" applyAlignment="1" applyProtection="1">
      <alignment horizontal="center" vertical="center"/>
      <protection locked="0"/>
    </xf>
    <xf numFmtId="0" fontId="2" fillId="0" borderId="56" xfId="0" applyNumberFormat="1" applyFont="1" applyBorder="1" applyAlignment="1" applyProtection="1">
      <alignment horizontal="center" vertical="center"/>
      <protection locked="0"/>
    </xf>
    <xf numFmtId="0" fontId="2" fillId="0" borderId="58" xfId="0" applyNumberFormat="1" applyFont="1" applyBorder="1" applyAlignment="1" applyProtection="1">
      <alignment horizontal="center" vertical="center"/>
      <protection locked="0"/>
    </xf>
    <xf numFmtId="0" fontId="2" fillId="0" borderId="65" xfId="0" applyNumberFormat="1" applyFont="1" applyBorder="1" applyAlignment="1" applyProtection="1">
      <alignment horizontal="center" vertical="center"/>
      <protection locked="0"/>
    </xf>
    <xf numFmtId="0" fontId="2" fillId="0" borderId="50" xfId="0" applyNumberFormat="1" applyFont="1" applyBorder="1" applyProtection="1">
      <alignment vertical="center"/>
      <protection locked="0"/>
    </xf>
    <xf numFmtId="0" fontId="11" fillId="3" borderId="0" xfId="3" applyNumberFormat="1" applyFont="1" applyFill="1" applyProtection="1">
      <alignment vertical="center"/>
      <protection locked="0"/>
    </xf>
    <xf numFmtId="0" fontId="2" fillId="0" borderId="88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>
      <alignment vertical="center"/>
    </xf>
    <xf numFmtId="0" fontId="12" fillId="0" borderId="0" xfId="0" applyNumberFormat="1" applyFont="1">
      <alignment vertical="center"/>
    </xf>
    <xf numFmtId="164" fontId="12" fillId="0" borderId="0" xfId="0" applyFont="1">
      <alignment vertical="center"/>
    </xf>
    <xf numFmtId="164" fontId="12" fillId="0" borderId="0" xfId="0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" fontId="2" fillId="0" borderId="9" xfId="0" quotePrefix="1" applyNumberFormat="1" applyFont="1" applyBorder="1" applyAlignment="1" applyProtection="1">
      <alignment horizontal="center" vertical="center"/>
      <protection locked="0"/>
    </xf>
    <xf numFmtId="1" fontId="2" fillId="0" borderId="29" xfId="0" quotePrefix="1" applyNumberFormat="1" applyFont="1" applyBorder="1" applyAlignment="1" applyProtection="1">
      <alignment horizontal="center" vertical="center"/>
      <protection locked="0"/>
    </xf>
    <xf numFmtId="164" fontId="0" fillId="0" borderId="0" xfId="0" applyAlignment="1"/>
    <xf numFmtId="0" fontId="2" fillId="8" borderId="0" xfId="0" applyNumberFormat="1" applyFont="1" applyFill="1" applyProtection="1">
      <alignment vertical="center"/>
      <protection locked="0"/>
    </xf>
    <xf numFmtId="0" fontId="2" fillId="0" borderId="43" xfId="0" applyNumberFormat="1" applyFont="1" applyBorder="1" applyProtection="1">
      <alignment vertical="center"/>
      <protection locked="0"/>
    </xf>
    <xf numFmtId="0" fontId="2" fillId="0" borderId="45" xfId="0" applyNumberFormat="1" applyFont="1" applyBorder="1" applyProtection="1">
      <alignment vertical="center"/>
      <protection locked="0"/>
    </xf>
    <xf numFmtId="0" fontId="2" fillId="0" borderId="8" xfId="0" applyNumberFormat="1" applyFont="1" applyBorder="1" applyProtection="1">
      <alignment vertical="center"/>
      <protection locked="0"/>
    </xf>
    <xf numFmtId="0" fontId="2" fillId="0" borderId="9" xfId="0" applyNumberFormat="1" applyFont="1" applyBorder="1" applyProtection="1">
      <alignment vertical="center"/>
      <protection locked="0"/>
    </xf>
    <xf numFmtId="164" fontId="12" fillId="0" borderId="0" xfId="0" applyFont="1" applyAlignment="1"/>
    <xf numFmtId="0" fontId="2" fillId="0" borderId="8" xfId="0" applyNumberFormat="1" applyFont="1" applyBorder="1" applyAlignment="1" applyProtection="1">
      <alignment horizontal="left" vertical="center"/>
      <protection locked="0"/>
    </xf>
    <xf numFmtId="0" fontId="2" fillId="0" borderId="7" xfId="0" applyNumberFormat="1" applyFont="1" applyBorder="1" applyAlignment="1" applyProtection="1">
      <alignment horizontal="left" vertical="center"/>
      <protection locked="0"/>
    </xf>
    <xf numFmtId="0" fontId="2" fillId="0" borderId="9" xfId="0" applyNumberFormat="1" applyFont="1" applyBorder="1" applyAlignment="1" applyProtection="1">
      <alignment horizontal="left" vertical="center"/>
      <protection locked="0"/>
    </xf>
    <xf numFmtId="0" fontId="2" fillId="0" borderId="8" xfId="0" applyNumberFormat="1" applyFont="1" applyBorder="1" applyAlignment="1" applyProtection="1">
      <alignment horizontal="center" vertical="center"/>
      <protection locked="0"/>
    </xf>
    <xf numFmtId="0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9" xfId="0" applyNumberFormat="1" applyFont="1" applyBorder="1" applyAlignment="1" applyProtection="1">
      <alignment horizontal="center" vertical="center"/>
      <protection locked="0"/>
    </xf>
    <xf numFmtId="0" fontId="2" fillId="0" borderId="0" xfId="0" applyNumberFormat="1" applyFont="1" applyAlignment="1" applyProtection="1">
      <alignment horizontal="left" vertical="center"/>
      <protection locked="0"/>
    </xf>
    <xf numFmtId="0" fontId="2" fillId="0" borderId="0" xfId="0" applyNumberFormat="1" applyFont="1" applyAlignment="1" applyProtection="1">
      <alignment horizontal="center" vertical="center"/>
      <protection locked="0"/>
    </xf>
    <xf numFmtId="0" fontId="2" fillId="0" borderId="15" xfId="0" applyNumberFormat="1" applyFont="1" applyBorder="1" applyAlignment="1" applyProtection="1">
      <alignment horizontal="left" vertical="center"/>
      <protection locked="0"/>
    </xf>
    <xf numFmtId="0" fontId="2" fillId="0" borderId="31" xfId="0" applyNumberFormat="1" applyFont="1" applyBorder="1" applyAlignment="1">
      <alignment horizontal="center" vertical="center"/>
    </xf>
    <xf numFmtId="0" fontId="2" fillId="4" borderId="15" xfId="0" applyNumberFormat="1" applyFont="1" applyFill="1" applyBorder="1" applyAlignment="1" applyProtection="1">
      <alignment horizontal="left" vertical="center"/>
      <protection locked="0"/>
    </xf>
    <xf numFmtId="0" fontId="9" fillId="4" borderId="8" xfId="0" applyNumberFormat="1" applyFont="1" applyFill="1" applyBorder="1" applyAlignment="1" applyProtection="1">
      <alignment horizontal="center" vertical="center"/>
      <protection locked="0"/>
    </xf>
    <xf numFmtId="0" fontId="9" fillId="4" borderId="7" xfId="0" applyNumberFormat="1" applyFont="1" applyFill="1" applyBorder="1" applyAlignment="1" applyProtection="1">
      <alignment horizontal="center" vertical="center"/>
      <protection locked="0"/>
    </xf>
    <xf numFmtId="0" fontId="9" fillId="4" borderId="9" xfId="0" applyNumberFormat="1" applyFont="1" applyFill="1" applyBorder="1" applyAlignment="1" applyProtection="1">
      <alignment horizontal="center" vertical="center"/>
      <protection locked="0"/>
    </xf>
    <xf numFmtId="0" fontId="9" fillId="4" borderId="43" xfId="0" applyNumberFormat="1" applyFont="1" applyFill="1" applyBorder="1" applyAlignment="1" applyProtection="1">
      <alignment horizontal="center" vertical="center"/>
      <protection locked="0"/>
    </xf>
    <xf numFmtId="0" fontId="9" fillId="4" borderId="44" xfId="0" applyNumberFormat="1" applyFont="1" applyFill="1" applyBorder="1" applyAlignment="1" applyProtection="1">
      <alignment horizontal="center" vertical="center"/>
      <protection locked="0"/>
    </xf>
    <xf numFmtId="0" fontId="9" fillId="4" borderId="45" xfId="0" applyNumberFormat="1" applyFont="1" applyFill="1" applyBorder="1" applyAlignment="1" applyProtection="1">
      <alignment horizontal="center" vertical="center"/>
      <protection locked="0"/>
    </xf>
    <xf numFmtId="0" fontId="3" fillId="0" borderId="26" xfId="0" applyNumberFormat="1" applyFont="1" applyBorder="1" applyAlignment="1" applyProtection="1">
      <alignment horizontal="center" vertical="center"/>
      <protection locked="0"/>
    </xf>
    <xf numFmtId="0" fontId="3" fillId="0" borderId="27" xfId="0" applyNumberFormat="1" applyFont="1" applyBorder="1" applyAlignment="1" applyProtection="1">
      <alignment horizontal="center" vertical="center"/>
      <protection locked="0"/>
    </xf>
    <xf numFmtId="0" fontId="3" fillId="0" borderId="28" xfId="0" applyNumberFormat="1" applyFont="1" applyBorder="1" applyAlignment="1" applyProtection="1">
      <alignment horizontal="center" vertical="center"/>
      <protection locked="0"/>
    </xf>
    <xf numFmtId="0" fontId="3" fillId="0" borderId="31" xfId="0" applyNumberFormat="1" applyFont="1" applyBorder="1" applyAlignment="1" applyProtection="1">
      <alignment horizontal="center" vertical="center"/>
      <protection locked="0"/>
    </xf>
    <xf numFmtId="0" fontId="2" fillId="0" borderId="30" xfId="0" applyNumberFormat="1" applyFont="1" applyBorder="1" applyAlignment="1" applyProtection="1">
      <alignment horizontal="left" vertical="center"/>
      <protection locked="0"/>
    </xf>
    <xf numFmtId="0" fontId="2" fillId="0" borderId="33" xfId="0" applyNumberFormat="1" applyFont="1" applyBorder="1" applyAlignment="1" applyProtection="1">
      <alignment horizontal="center" vertical="center"/>
      <protection locked="0"/>
    </xf>
    <xf numFmtId="0" fontId="2" fillId="0" borderId="34" xfId="0" applyNumberFormat="1" applyFont="1" applyBorder="1" applyAlignment="1" applyProtection="1">
      <alignment horizontal="center" vertical="center"/>
      <protection locked="0"/>
    </xf>
    <xf numFmtId="0" fontId="2" fillId="0" borderId="35" xfId="0" applyNumberFormat="1" applyFont="1" applyBorder="1" applyAlignment="1" applyProtection="1">
      <alignment horizontal="center" vertical="center"/>
      <protection locked="0"/>
    </xf>
    <xf numFmtId="0" fontId="2" fillId="0" borderId="49" xfId="0" applyNumberFormat="1" applyFont="1" applyBorder="1" applyAlignment="1" applyProtection="1">
      <alignment horizontal="left" vertical="center"/>
      <protection locked="0"/>
    </xf>
    <xf numFmtId="0" fontId="2" fillId="0" borderId="50" xfId="0" applyNumberFormat="1" applyFont="1" applyBorder="1" applyAlignment="1" applyProtection="1">
      <alignment horizontal="left" vertical="center"/>
      <protection locked="0"/>
    </xf>
    <xf numFmtId="0" fontId="8" fillId="4" borderId="0" xfId="0" applyNumberFormat="1" applyFont="1" applyFill="1" applyAlignment="1" applyProtection="1">
      <alignment horizontal="center" vertical="center"/>
      <protection locked="0"/>
    </xf>
    <xf numFmtId="0" fontId="2" fillId="4" borderId="0" xfId="0" applyNumberFormat="1" applyFont="1" applyFill="1" applyAlignment="1" applyProtection="1">
      <alignment horizontal="left" vertical="center"/>
      <protection locked="0"/>
    </xf>
    <xf numFmtId="0" fontId="2" fillId="0" borderId="27" xfId="0" applyNumberFormat="1" applyFont="1" applyBorder="1" applyAlignment="1" applyProtection="1">
      <alignment horizontal="center" vertical="center"/>
      <protection locked="0"/>
    </xf>
    <xf numFmtId="0" fontId="2" fillId="0" borderId="28" xfId="0" applyNumberFormat="1" applyFont="1" applyBorder="1" applyAlignment="1" applyProtection="1">
      <alignment horizontal="center" vertical="center"/>
      <protection locked="0"/>
    </xf>
    <xf numFmtId="0" fontId="2" fillId="0" borderId="26" xfId="0" applyNumberFormat="1" applyFont="1" applyBorder="1" applyAlignment="1">
      <alignment horizontal="center"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16" xfId="0" applyNumberFormat="1" applyFont="1" applyBorder="1" applyAlignment="1" applyProtection="1">
      <alignment horizontal="center" vertical="center"/>
      <protection locked="0"/>
    </xf>
    <xf numFmtId="0" fontId="2" fillId="0" borderId="17" xfId="0" applyNumberFormat="1" applyFont="1" applyBorder="1" applyAlignment="1" applyProtection="1">
      <alignment horizontal="center" vertical="center"/>
      <protection locked="0"/>
    </xf>
    <xf numFmtId="0" fontId="2" fillId="0" borderId="18" xfId="0" applyNumberFormat="1" applyFont="1" applyBorder="1" applyAlignment="1" applyProtection="1">
      <alignment horizontal="center" vertical="center"/>
      <protection locked="0"/>
    </xf>
    <xf numFmtId="0" fontId="2" fillId="0" borderId="19" xfId="0" applyNumberFormat="1" applyFont="1" applyBorder="1" applyAlignment="1" applyProtection="1">
      <alignment horizontal="center" vertical="center"/>
      <protection locked="0"/>
    </xf>
    <xf numFmtId="0" fontId="2" fillId="0" borderId="20" xfId="0" applyNumberFormat="1" applyFont="1" applyBorder="1" applyAlignment="1" applyProtection="1">
      <alignment horizontal="center" vertical="center"/>
      <protection locked="0"/>
    </xf>
    <xf numFmtId="0" fontId="2" fillId="0" borderId="21" xfId="0" applyNumberFormat="1" applyFont="1" applyBorder="1" applyAlignment="1" applyProtection="1">
      <alignment horizontal="center" vertical="center"/>
      <protection locked="0"/>
    </xf>
    <xf numFmtId="0" fontId="2" fillId="0" borderId="22" xfId="0" applyNumberFormat="1" applyFont="1" applyBorder="1" applyAlignment="1" applyProtection="1">
      <alignment horizontal="center" vertical="center"/>
      <protection locked="0"/>
    </xf>
    <xf numFmtId="0" fontId="2" fillId="0" borderId="23" xfId="0" applyNumberFormat="1" applyFont="1" applyBorder="1" applyAlignment="1" applyProtection="1">
      <alignment horizontal="center" vertical="center"/>
      <protection locked="0"/>
    </xf>
    <xf numFmtId="0" fontId="2" fillId="0" borderId="16" xfId="0" applyNumberFormat="1" applyFont="1" applyBorder="1" applyAlignment="1" applyProtection="1">
      <alignment horizontal="center" vertical="center" wrapText="1"/>
      <protection locked="0"/>
    </xf>
    <xf numFmtId="0" fontId="2" fillId="0" borderId="53" xfId="0" applyNumberFormat="1" applyFont="1" applyBorder="1" applyAlignment="1" applyProtection="1">
      <alignment horizontal="center" vertical="center"/>
      <protection locked="0"/>
    </xf>
    <xf numFmtId="0" fontId="2" fillId="0" borderId="52" xfId="0" applyNumberFormat="1" applyFont="1" applyBorder="1" applyAlignment="1" applyProtection="1">
      <alignment horizontal="center" vertical="center"/>
      <protection locked="0"/>
    </xf>
    <xf numFmtId="0" fontId="2" fillId="0" borderId="39" xfId="0" applyNumberFormat="1" applyFont="1" applyBorder="1" applyAlignment="1">
      <alignment horizontal="center" vertical="center"/>
    </xf>
    <xf numFmtId="0" fontId="2" fillId="0" borderId="41" xfId="0" applyNumberFormat="1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42" xfId="0" applyNumberFormat="1" applyFont="1" applyBorder="1" applyAlignment="1">
      <alignment horizontal="center"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46" xfId="0" applyNumberFormat="1" applyFont="1" applyBorder="1" applyAlignment="1">
      <alignment horizontal="center" vertical="center"/>
    </xf>
    <xf numFmtId="0" fontId="2" fillId="0" borderId="47" xfId="0" applyNumberFormat="1" applyFont="1" applyBorder="1" applyAlignment="1">
      <alignment horizontal="center" vertical="center"/>
    </xf>
    <xf numFmtId="0" fontId="6" fillId="0" borderId="26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7" fillId="0" borderId="28" xfId="0" applyNumberFormat="1" applyFont="1" applyBorder="1" applyAlignment="1">
      <alignment horizontal="center" vertical="center"/>
    </xf>
    <xf numFmtId="0" fontId="2" fillId="0" borderId="66" xfId="0" applyNumberFormat="1" applyFont="1" applyBorder="1" applyAlignment="1" applyProtection="1">
      <alignment horizontal="center" vertical="center"/>
      <protection locked="0"/>
    </xf>
    <xf numFmtId="0" fontId="2" fillId="0" borderId="67" xfId="0" applyNumberFormat="1" applyFont="1" applyBorder="1" applyAlignment="1" applyProtection="1">
      <alignment horizontal="center" vertical="center"/>
      <protection locked="0"/>
    </xf>
    <xf numFmtId="0" fontId="2" fillId="0" borderId="68" xfId="0" applyNumberFormat="1" applyFont="1" applyBorder="1" applyAlignment="1" applyProtection="1">
      <alignment horizontal="center" vertical="center"/>
      <protection locked="0"/>
    </xf>
    <xf numFmtId="0" fontId="2" fillId="0" borderId="57" xfId="0" applyNumberFormat="1" applyFont="1" applyBorder="1" applyAlignment="1" applyProtection="1">
      <alignment horizontal="center" vertical="center"/>
      <protection locked="0"/>
    </xf>
    <xf numFmtId="0" fontId="2" fillId="0" borderId="56" xfId="0" applyNumberFormat="1" applyFont="1" applyBorder="1" applyAlignment="1" applyProtection="1">
      <alignment horizontal="center" vertical="center"/>
      <protection locked="0"/>
    </xf>
    <xf numFmtId="0" fontId="2" fillId="0" borderId="62" xfId="0" applyNumberFormat="1" applyFont="1" applyBorder="1" applyAlignment="1" applyProtection="1">
      <alignment horizontal="center" vertical="center"/>
      <protection locked="0"/>
    </xf>
    <xf numFmtId="0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63" xfId="0" applyNumberFormat="1" applyFont="1" applyBorder="1" applyAlignment="1" applyProtection="1">
      <alignment horizontal="center" vertical="center"/>
      <protection locked="0"/>
    </xf>
    <xf numFmtId="0" fontId="2" fillId="0" borderId="59" xfId="0" applyNumberFormat="1" applyFont="1" applyBorder="1" applyAlignment="1" applyProtection="1">
      <alignment horizontal="center" vertical="center"/>
      <protection locked="0"/>
    </xf>
    <xf numFmtId="0" fontId="2" fillId="0" borderId="60" xfId="0" applyNumberFormat="1" applyFont="1" applyBorder="1" applyAlignment="1" applyProtection="1">
      <alignment horizontal="center" vertical="center"/>
      <protection locked="0"/>
    </xf>
    <xf numFmtId="0" fontId="2" fillId="0" borderId="61" xfId="0" applyNumberFormat="1" applyFont="1" applyBorder="1" applyAlignment="1" applyProtection="1">
      <alignment horizontal="center" vertical="center"/>
      <protection locked="0"/>
    </xf>
    <xf numFmtId="0" fontId="10" fillId="0" borderId="62" xfId="3" applyNumberFormat="1" applyBorder="1" applyAlignment="1" applyProtection="1">
      <alignment horizontal="center" vertical="center"/>
      <protection locked="0"/>
    </xf>
    <xf numFmtId="0" fontId="10" fillId="0" borderId="63" xfId="3" applyNumberFormat="1" applyBorder="1" applyAlignment="1" applyProtection="1">
      <alignment horizontal="center" vertical="center"/>
      <protection locked="0"/>
    </xf>
    <xf numFmtId="0" fontId="2" fillId="0" borderId="51" xfId="0" applyNumberFormat="1" applyFont="1" applyBorder="1" applyAlignment="1" applyProtection="1">
      <alignment horizontal="center" vertical="center"/>
      <protection locked="0"/>
    </xf>
    <xf numFmtId="0" fontId="2" fillId="0" borderId="27" xfId="0" applyNumberFormat="1" applyFont="1" applyBorder="1" applyAlignment="1">
      <alignment horizontal="center" vertical="center"/>
    </xf>
    <xf numFmtId="0" fontId="2" fillId="0" borderId="54" xfId="0" applyNumberFormat="1" applyFont="1" applyBorder="1" applyAlignment="1" applyProtection="1">
      <alignment horizontal="center" vertical="center"/>
      <protection locked="0"/>
    </xf>
    <xf numFmtId="0" fontId="2" fillId="0" borderId="55" xfId="0" applyNumberFormat="1" applyFont="1" applyBorder="1" applyAlignment="1" applyProtection="1">
      <alignment horizontal="center" vertical="center"/>
      <protection locked="0"/>
    </xf>
    <xf numFmtId="0" fontId="10" fillId="0" borderId="57" xfId="3" applyNumberFormat="1" applyBorder="1" applyAlignment="1" applyProtection="1">
      <alignment horizontal="center" vertical="center"/>
      <protection locked="0"/>
    </xf>
    <xf numFmtId="0" fontId="10" fillId="0" borderId="56" xfId="3" applyNumberFormat="1" applyBorder="1" applyAlignment="1" applyProtection="1">
      <alignment horizontal="center" vertical="center"/>
      <protection locked="0"/>
    </xf>
    <xf numFmtId="0" fontId="10" fillId="0" borderId="59" xfId="3" applyNumberFormat="1" applyBorder="1" applyAlignment="1" applyProtection="1">
      <alignment horizontal="center" vertical="center"/>
      <protection locked="0"/>
    </xf>
    <xf numFmtId="0" fontId="10" fillId="0" borderId="61" xfId="3" applyNumberFormat="1" applyBorder="1" applyAlignment="1" applyProtection="1">
      <alignment horizontal="center" vertical="center"/>
      <protection locked="0"/>
    </xf>
    <xf numFmtId="0" fontId="2" fillId="0" borderId="96" xfId="0" applyNumberFormat="1" applyFont="1" applyBorder="1" applyAlignment="1" applyProtection="1">
      <alignment horizontal="center" vertical="center"/>
      <protection locked="0"/>
    </xf>
    <xf numFmtId="0" fontId="2" fillId="0" borderId="97" xfId="0" applyNumberFormat="1" applyFont="1" applyBorder="1" applyAlignment="1" applyProtection="1">
      <alignment horizontal="center" vertical="center"/>
      <protection locked="0"/>
    </xf>
    <xf numFmtId="0" fontId="2" fillId="0" borderId="98" xfId="0" applyNumberFormat="1" applyFont="1" applyBorder="1" applyAlignment="1" applyProtection="1">
      <alignment horizontal="center" vertical="center"/>
      <protection locked="0"/>
    </xf>
    <xf numFmtId="0" fontId="2" fillId="0" borderId="81" xfId="0" applyNumberFormat="1" applyFont="1" applyBorder="1" applyAlignment="1" applyProtection="1">
      <alignment horizontal="center" vertical="center"/>
      <protection locked="0"/>
    </xf>
    <xf numFmtId="0" fontId="2" fillId="0" borderId="71" xfId="0" applyNumberFormat="1" applyFont="1" applyBorder="1" applyAlignment="1" applyProtection="1">
      <alignment horizontal="center" vertical="center"/>
      <protection locked="0"/>
    </xf>
    <xf numFmtId="0" fontId="2" fillId="0" borderId="89" xfId="0" applyNumberFormat="1" applyFont="1" applyBorder="1" applyAlignment="1" applyProtection="1">
      <alignment horizontal="center" vertical="center"/>
      <protection locked="0"/>
    </xf>
    <xf numFmtId="0" fontId="2" fillId="0" borderId="10" xfId="0" applyNumberFormat="1" applyFont="1" applyBorder="1" applyAlignment="1" applyProtection="1">
      <alignment horizontal="center" vertical="center"/>
      <protection locked="0"/>
    </xf>
    <xf numFmtId="0" fontId="2" fillId="0" borderId="24" xfId="0" applyNumberFormat="1" applyFont="1" applyBorder="1" applyAlignment="1" applyProtection="1">
      <alignment horizontal="center" vertical="center"/>
      <protection locked="0"/>
    </xf>
    <xf numFmtId="0" fontId="2" fillId="0" borderId="25" xfId="0" applyNumberFormat="1" applyFont="1" applyBorder="1" applyAlignment="1" applyProtection="1">
      <alignment horizontal="center" vertical="center"/>
      <protection locked="0"/>
    </xf>
    <xf numFmtId="0" fontId="2" fillId="0" borderId="95" xfId="0" applyNumberFormat="1" applyFont="1" applyBorder="1" applyAlignment="1" applyProtection="1">
      <alignment horizontal="left" vertical="center"/>
      <protection locked="0"/>
    </xf>
    <xf numFmtId="0" fontId="2" fillId="0" borderId="110" xfId="0" applyNumberFormat="1" applyFont="1" applyBorder="1" applyAlignment="1" applyProtection="1">
      <alignment horizontal="center" vertical="center"/>
      <protection locked="0"/>
    </xf>
    <xf numFmtId="0" fontId="2" fillId="0" borderId="111" xfId="0" applyNumberFormat="1" applyFont="1" applyBorder="1" applyAlignment="1" applyProtection="1">
      <alignment horizontal="center" vertical="center"/>
      <protection locked="0"/>
    </xf>
    <xf numFmtId="0" fontId="2" fillId="0" borderId="109" xfId="0" applyNumberFormat="1" applyFont="1" applyBorder="1" applyAlignment="1" applyProtection="1">
      <alignment horizontal="center" vertical="center"/>
      <protection locked="0"/>
    </xf>
    <xf numFmtId="0" fontId="2" fillId="0" borderId="109" xfId="0" applyNumberFormat="1" applyFont="1" applyBorder="1" applyAlignment="1" applyProtection="1">
      <alignment horizontal="left" vertical="center"/>
      <protection locked="0"/>
    </xf>
    <xf numFmtId="0" fontId="2" fillId="0" borderId="110" xfId="0" applyNumberFormat="1" applyFont="1" applyBorder="1" applyAlignment="1" applyProtection="1">
      <alignment horizontal="left" vertical="center"/>
      <protection locked="0"/>
    </xf>
    <xf numFmtId="0" fontId="2" fillId="0" borderId="111" xfId="0" applyNumberFormat="1" applyFont="1" applyBorder="1" applyAlignment="1" applyProtection="1">
      <alignment horizontal="left" vertical="center"/>
      <protection locked="0"/>
    </xf>
    <xf numFmtId="0" fontId="2" fillId="0" borderId="82" xfId="0" applyNumberFormat="1" applyFont="1" applyBorder="1" applyAlignment="1" applyProtection="1">
      <alignment horizontal="center" vertical="center"/>
      <protection locked="0"/>
    </xf>
    <xf numFmtId="0" fontId="2" fillId="0" borderId="69" xfId="0" applyNumberFormat="1" applyFont="1" applyBorder="1" applyAlignment="1" applyProtection="1">
      <alignment horizontal="center" vertical="center"/>
      <protection locked="0"/>
    </xf>
    <xf numFmtId="0" fontId="2" fillId="0" borderId="99" xfId="0" applyNumberFormat="1" applyFont="1" applyBorder="1" applyAlignment="1" applyProtection="1">
      <alignment horizontal="center" vertical="center"/>
      <protection locked="0"/>
    </xf>
    <xf numFmtId="0" fontId="2" fillId="0" borderId="72" xfId="0" applyNumberFormat="1" applyFont="1" applyBorder="1" applyAlignment="1" applyProtection="1">
      <alignment horizontal="center" vertical="center"/>
      <protection locked="0"/>
    </xf>
    <xf numFmtId="0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4" xfId="0" applyNumberFormat="1" applyFont="1" applyBorder="1" applyAlignment="1" applyProtection="1">
      <alignment horizontal="center" vertical="center"/>
      <protection locked="0"/>
    </xf>
    <xf numFmtId="0" fontId="2" fillId="0" borderId="5" xfId="0" applyNumberFormat="1" applyFont="1" applyBorder="1" applyAlignment="1" applyProtection="1">
      <alignment horizontal="center" vertical="center"/>
      <protection locked="0"/>
    </xf>
    <xf numFmtId="0" fontId="2" fillId="0" borderId="118" xfId="0" applyNumberFormat="1" applyFont="1" applyBorder="1" applyAlignment="1" applyProtection="1">
      <alignment horizontal="center" vertical="center"/>
      <protection locked="0"/>
    </xf>
    <xf numFmtId="0" fontId="2" fillId="0" borderId="119" xfId="0" applyNumberFormat="1" applyFont="1" applyBorder="1" applyAlignment="1" applyProtection="1">
      <alignment horizontal="center" vertical="center"/>
      <protection locked="0"/>
    </xf>
    <xf numFmtId="0" fontId="2" fillId="0" borderId="120" xfId="0" applyNumberFormat="1" applyFont="1" applyBorder="1" applyAlignment="1" applyProtection="1">
      <alignment horizontal="center" vertical="center"/>
      <protection locked="0"/>
    </xf>
    <xf numFmtId="0" fontId="2" fillId="0" borderId="85" xfId="0" applyNumberFormat="1" applyFont="1" applyBorder="1" applyAlignment="1" applyProtection="1">
      <alignment horizontal="center" vertical="center"/>
      <protection locked="0"/>
    </xf>
    <xf numFmtId="0" fontId="2" fillId="0" borderId="117" xfId="0" applyNumberFormat="1" applyFont="1" applyBorder="1" applyAlignment="1" applyProtection="1">
      <alignment horizontal="center" vertical="center"/>
      <protection locked="0"/>
    </xf>
    <xf numFmtId="0" fontId="2" fillId="0" borderId="121" xfId="0" applyNumberFormat="1" applyFont="1" applyBorder="1" applyAlignment="1" applyProtection="1">
      <alignment horizontal="center" vertical="center"/>
      <protection locked="0"/>
    </xf>
    <xf numFmtId="0" fontId="2" fillId="0" borderId="122" xfId="0" applyNumberFormat="1" applyFont="1" applyBorder="1" applyAlignment="1" applyProtection="1">
      <alignment horizontal="center" vertical="center"/>
      <protection locked="0"/>
    </xf>
    <xf numFmtId="0" fontId="2" fillId="0" borderId="84" xfId="0" applyNumberFormat="1" applyFont="1" applyBorder="1" applyAlignment="1" applyProtection="1">
      <alignment horizontal="center" vertical="center"/>
      <protection locked="0"/>
    </xf>
    <xf numFmtId="0" fontId="2" fillId="0" borderId="83" xfId="0" applyNumberFormat="1" applyFont="1" applyBorder="1" applyAlignment="1" applyProtection="1">
      <alignment horizontal="center" vertical="center"/>
      <protection locked="0"/>
    </xf>
    <xf numFmtId="0" fontId="2" fillId="0" borderId="86" xfId="0" applyNumberFormat="1" applyFont="1" applyBorder="1" applyAlignment="1" applyProtection="1">
      <alignment horizontal="center" vertical="center"/>
      <protection locked="0"/>
    </xf>
    <xf numFmtId="0" fontId="2" fillId="0" borderId="87" xfId="0" applyNumberFormat="1" applyFont="1" applyBorder="1" applyAlignment="1" applyProtection="1">
      <alignment horizontal="center" vertical="center"/>
      <protection locked="0"/>
    </xf>
    <xf numFmtId="0" fontId="2" fillId="0" borderId="75" xfId="0" applyNumberFormat="1" applyFont="1" applyBorder="1" applyAlignment="1" applyProtection="1">
      <alignment horizontal="left" vertical="center"/>
      <protection locked="0"/>
    </xf>
    <xf numFmtId="0" fontId="2" fillId="0" borderId="45" xfId="0" applyNumberFormat="1" applyFont="1" applyBorder="1" applyAlignment="1" applyProtection="1">
      <alignment horizontal="center" vertical="center"/>
      <protection locked="0"/>
    </xf>
    <xf numFmtId="0" fontId="2" fillId="0" borderId="6" xfId="0" applyNumberFormat="1" applyFont="1" applyBorder="1" applyAlignment="1" applyProtection="1">
      <alignment horizontal="center" vertical="center"/>
      <protection locked="0"/>
    </xf>
    <xf numFmtId="0" fontId="2" fillId="0" borderId="11" xfId="0" applyNumberFormat="1" applyFont="1" applyBorder="1" applyAlignment="1" applyProtection="1">
      <alignment horizontal="center" vertical="center"/>
      <protection locked="0"/>
    </xf>
    <xf numFmtId="0" fontId="2" fillId="0" borderId="70" xfId="0" applyNumberFormat="1" applyFont="1" applyBorder="1" applyAlignment="1" applyProtection="1">
      <alignment horizontal="center" vertical="center"/>
      <protection locked="0"/>
    </xf>
    <xf numFmtId="0" fontId="2" fillId="0" borderId="10" xfId="0" applyNumberFormat="1" applyFont="1" applyBorder="1" applyAlignment="1" applyProtection="1">
      <alignment horizontal="left" vertical="center"/>
      <protection locked="0"/>
    </xf>
    <xf numFmtId="0" fontId="2" fillId="0" borderId="91" xfId="0" applyNumberFormat="1" applyFont="1" applyBorder="1" applyAlignment="1" applyProtection="1">
      <alignment horizontal="center" vertical="center"/>
      <protection locked="0"/>
    </xf>
    <xf numFmtId="0" fontId="2" fillId="0" borderId="33" xfId="0" applyNumberFormat="1" applyFont="1" applyBorder="1" applyAlignment="1" applyProtection="1">
      <alignment horizontal="left" vertical="center"/>
      <protection locked="0"/>
    </xf>
    <xf numFmtId="0" fontId="2" fillId="0" borderId="103" xfId="0" applyNumberFormat="1" applyFont="1" applyBorder="1" applyAlignment="1" applyProtection="1">
      <alignment horizontal="center" vertical="center"/>
      <protection locked="0"/>
    </xf>
    <xf numFmtId="0" fontId="2" fillId="0" borderId="73" xfId="0" applyNumberFormat="1" applyFont="1" applyBorder="1" applyAlignment="1" applyProtection="1">
      <alignment horizontal="center" vertical="center"/>
      <protection locked="0"/>
    </xf>
    <xf numFmtId="0" fontId="2" fillId="0" borderId="101" xfId="0" applyNumberFormat="1" applyFont="1" applyBorder="1" applyAlignment="1" applyProtection="1">
      <alignment horizontal="left" vertical="center"/>
      <protection locked="0"/>
    </xf>
    <xf numFmtId="0" fontId="2" fillId="0" borderId="80" xfId="0" applyNumberFormat="1" applyFont="1" applyBorder="1" applyAlignment="1" applyProtection="1">
      <alignment horizontal="left" vertical="center"/>
      <protection locked="0"/>
    </xf>
    <xf numFmtId="0" fontId="2" fillId="0" borderId="85" xfId="0" applyNumberFormat="1" applyFont="1" applyBorder="1" applyAlignment="1" applyProtection="1">
      <alignment horizontal="left" vertical="center"/>
      <protection locked="0"/>
    </xf>
    <xf numFmtId="0" fontId="2" fillId="0" borderId="93" xfId="0" applyNumberFormat="1" applyFont="1" applyBorder="1" applyAlignment="1" applyProtection="1">
      <alignment horizontal="center" vertical="center"/>
      <protection locked="0"/>
    </xf>
    <xf numFmtId="0" fontId="2" fillId="0" borderId="43" xfId="0" applyNumberFormat="1" applyFont="1" applyBorder="1" applyAlignment="1" applyProtection="1">
      <alignment horizontal="center" vertical="center"/>
      <protection locked="0"/>
    </xf>
    <xf numFmtId="0" fontId="2" fillId="0" borderId="76" xfId="0" applyNumberFormat="1" applyFont="1" applyBorder="1" applyAlignment="1" applyProtection="1">
      <alignment horizontal="center" vertical="center"/>
      <protection locked="0"/>
    </xf>
    <xf numFmtId="0" fontId="2" fillId="0" borderId="78" xfId="0" applyNumberFormat="1" applyFont="1" applyBorder="1" applyAlignment="1" applyProtection="1">
      <alignment horizontal="center" vertical="center"/>
      <protection locked="0"/>
    </xf>
    <xf numFmtId="0" fontId="2" fillId="0" borderId="74" xfId="0" applyNumberFormat="1" applyFont="1" applyBorder="1" applyAlignment="1" applyProtection="1">
      <alignment horizontal="center" vertical="center"/>
      <protection locked="0"/>
    </xf>
    <xf numFmtId="0" fontId="2" fillId="0" borderId="90" xfId="0" applyNumberFormat="1" applyFont="1" applyBorder="1" applyAlignment="1" applyProtection="1">
      <alignment horizontal="center" vertical="center"/>
      <protection locked="0"/>
    </xf>
    <xf numFmtId="0" fontId="2" fillId="0" borderId="102" xfId="0" applyNumberFormat="1" applyFont="1" applyBorder="1" applyAlignment="1" applyProtection="1">
      <alignment horizontal="center" vertical="center"/>
      <protection locked="0"/>
    </xf>
    <xf numFmtId="0" fontId="2" fillId="0" borderId="64" xfId="0" applyNumberFormat="1" applyFont="1" applyBorder="1" applyAlignment="1" applyProtection="1">
      <alignment horizontal="left" vertical="center"/>
      <protection locked="0"/>
    </xf>
    <xf numFmtId="0" fontId="2" fillId="0" borderId="11" xfId="0" applyNumberFormat="1" applyFont="1" applyBorder="1" applyAlignment="1" applyProtection="1">
      <alignment horizontal="left" vertical="center"/>
      <protection locked="0"/>
    </xf>
    <xf numFmtId="0" fontId="2" fillId="0" borderId="43" xfId="0" applyNumberFormat="1" applyFont="1" applyBorder="1" applyAlignment="1" applyProtection="1">
      <alignment horizontal="left" vertical="center"/>
      <protection locked="0"/>
    </xf>
    <xf numFmtId="0" fontId="2" fillId="0" borderId="92" xfId="0" applyNumberFormat="1" applyFont="1" applyBorder="1" applyAlignment="1" applyProtection="1">
      <alignment horizontal="center" vertical="center"/>
      <protection locked="0"/>
    </xf>
    <xf numFmtId="0" fontId="2" fillId="0" borderId="77" xfId="0" applyNumberFormat="1" applyFont="1" applyBorder="1" applyAlignment="1" applyProtection="1">
      <alignment horizontal="center" vertical="center"/>
      <protection locked="0"/>
    </xf>
    <xf numFmtId="0" fontId="2" fillId="0" borderId="79" xfId="0" applyNumberFormat="1" applyFont="1" applyBorder="1" applyAlignment="1" applyProtection="1">
      <alignment horizontal="left" vertical="center"/>
      <protection locked="0"/>
    </xf>
    <xf numFmtId="0" fontId="2" fillId="0" borderId="104" xfId="0" applyNumberFormat="1" applyFont="1" applyBorder="1" applyAlignment="1" applyProtection="1">
      <alignment horizontal="left" vertical="center"/>
      <protection locked="0"/>
    </xf>
    <xf numFmtId="0" fontId="2" fillId="0" borderId="94" xfId="0" applyNumberFormat="1" applyFont="1" applyBorder="1" applyAlignment="1" applyProtection="1">
      <alignment horizontal="left" vertical="center"/>
      <protection locked="0"/>
    </xf>
    <xf numFmtId="0" fontId="2" fillId="0" borderId="100" xfId="0" applyNumberFormat="1" applyFont="1" applyBorder="1" applyAlignment="1" applyProtection="1">
      <alignment horizontal="center" vertical="center"/>
      <protection locked="0"/>
    </xf>
    <xf numFmtId="0" fontId="2" fillId="5" borderId="10" xfId="0" applyNumberFormat="1" applyFont="1" applyFill="1" applyBorder="1" applyAlignment="1" applyProtection="1">
      <alignment horizontal="center" vertical="center"/>
      <protection locked="0"/>
    </xf>
    <xf numFmtId="0" fontId="2" fillId="5" borderId="25" xfId="0" applyNumberFormat="1" applyFont="1" applyFill="1" applyBorder="1" applyAlignment="1" applyProtection="1">
      <alignment horizontal="center" vertical="center"/>
      <protection locked="0"/>
    </xf>
    <xf numFmtId="0" fontId="2" fillId="5" borderId="13" xfId="0" applyNumberFormat="1" applyFont="1" applyFill="1" applyBorder="1" applyAlignment="1" applyProtection="1">
      <alignment horizontal="left" vertical="center"/>
      <protection locked="0"/>
    </xf>
    <xf numFmtId="0" fontId="2" fillId="5" borderId="10" xfId="0" applyNumberFormat="1" applyFont="1" applyFill="1" applyBorder="1" applyAlignment="1" applyProtection="1">
      <alignment horizontal="left" vertical="center"/>
      <protection locked="0"/>
    </xf>
    <xf numFmtId="0" fontId="2" fillId="5" borderId="76" xfId="0" applyNumberFormat="1" applyFont="1" applyFill="1" applyBorder="1" applyAlignment="1" applyProtection="1">
      <alignment horizontal="center" vertical="center"/>
      <protection locked="0"/>
    </xf>
    <xf numFmtId="0" fontId="2" fillId="5" borderId="78" xfId="0" applyNumberFormat="1" applyFont="1" applyFill="1" applyBorder="1" applyAlignment="1" applyProtection="1">
      <alignment horizontal="center" vertical="center"/>
      <protection locked="0"/>
    </xf>
    <xf numFmtId="0" fontId="2" fillId="5" borderId="15" xfId="0" applyNumberFormat="1" applyFont="1" applyFill="1" applyBorder="1" applyAlignment="1" applyProtection="1">
      <alignment horizontal="left" vertical="center"/>
      <protection locked="0"/>
    </xf>
    <xf numFmtId="0" fontId="2" fillId="5" borderId="8" xfId="0" applyNumberFormat="1" applyFont="1" applyFill="1" applyBorder="1" applyAlignment="1" applyProtection="1">
      <alignment horizontal="left" vertical="center"/>
      <protection locked="0"/>
    </xf>
    <xf numFmtId="0" fontId="2" fillId="5" borderId="33" xfId="0" applyNumberFormat="1" applyFont="1" applyFill="1" applyBorder="1" applyAlignment="1" applyProtection="1">
      <alignment horizontal="center" vertical="center"/>
      <protection locked="0"/>
    </xf>
    <xf numFmtId="0" fontId="2" fillId="5" borderId="35" xfId="0" applyNumberFormat="1" applyFont="1" applyFill="1" applyBorder="1" applyAlignment="1" applyProtection="1">
      <alignment horizontal="center" vertical="center"/>
      <protection locked="0"/>
    </xf>
    <xf numFmtId="0" fontId="2" fillId="5" borderId="95" xfId="0" applyNumberFormat="1" applyFont="1" applyFill="1" applyBorder="1" applyAlignment="1" applyProtection="1">
      <alignment horizontal="left" vertical="center"/>
      <protection locked="0"/>
    </xf>
    <xf numFmtId="0" fontId="2" fillId="5" borderId="33" xfId="0" applyNumberFormat="1" applyFont="1" applyFill="1" applyBorder="1" applyAlignment="1" applyProtection="1">
      <alignment horizontal="left" vertical="center"/>
      <protection locked="0"/>
    </xf>
    <xf numFmtId="0" fontId="2" fillId="0" borderId="107" xfId="0" applyNumberFormat="1" applyFont="1" applyBorder="1" applyAlignment="1" applyProtection="1">
      <alignment horizontal="center" vertical="center"/>
      <protection locked="0"/>
    </xf>
    <xf numFmtId="0" fontId="2" fillId="0" borderId="108" xfId="0" applyNumberFormat="1" applyFont="1" applyBorder="1" applyAlignment="1" applyProtection="1">
      <alignment horizontal="center" vertical="center"/>
      <protection locked="0"/>
    </xf>
    <xf numFmtId="0" fontId="2" fillId="0" borderId="106" xfId="0" applyNumberFormat="1" applyFont="1" applyBorder="1" applyAlignment="1" applyProtection="1">
      <alignment horizontal="center" vertical="center"/>
      <protection locked="0"/>
    </xf>
    <xf numFmtId="0" fontId="2" fillId="5" borderId="106" xfId="0" applyNumberFormat="1" applyFont="1" applyFill="1" applyBorder="1" applyAlignment="1" applyProtection="1">
      <alignment horizontal="center" vertical="center"/>
      <protection locked="0"/>
    </xf>
    <xf numFmtId="0" fontId="2" fillId="5" borderId="108" xfId="0" applyNumberFormat="1" applyFont="1" applyFill="1" applyBorder="1" applyAlignment="1" applyProtection="1">
      <alignment horizontal="center" vertical="center"/>
      <protection locked="0"/>
    </xf>
    <xf numFmtId="0" fontId="2" fillId="5" borderId="101" xfId="0" applyNumberFormat="1" applyFont="1" applyFill="1" applyBorder="1" applyAlignment="1" applyProtection="1">
      <alignment horizontal="left" vertical="center"/>
      <protection locked="0"/>
    </xf>
    <xf numFmtId="0" fontId="2" fillId="5" borderId="80" xfId="0" applyNumberFormat="1" applyFont="1" applyFill="1" applyBorder="1" applyAlignment="1" applyProtection="1">
      <alignment horizontal="left" vertical="center"/>
      <protection locked="0"/>
    </xf>
    <xf numFmtId="0" fontId="2" fillId="5" borderId="85" xfId="0" applyNumberFormat="1" applyFont="1" applyFill="1" applyBorder="1" applyAlignment="1" applyProtection="1">
      <alignment horizontal="left" vertical="center"/>
      <protection locked="0"/>
    </xf>
    <xf numFmtId="0" fontId="2" fillId="0" borderId="112" xfId="0" applyNumberFormat="1" applyFont="1" applyBorder="1" applyAlignment="1" applyProtection="1">
      <alignment horizontal="center" vertical="center"/>
      <protection locked="0"/>
    </xf>
    <xf numFmtId="0" fontId="2" fillId="6" borderId="85" xfId="0" applyNumberFormat="1" applyFont="1" applyFill="1" applyBorder="1" applyAlignment="1" applyProtection="1">
      <alignment horizontal="center" vertical="center"/>
      <protection locked="0"/>
    </xf>
    <xf numFmtId="0" fontId="2" fillId="6" borderId="73" xfId="0" applyNumberFormat="1" applyFont="1" applyFill="1" applyBorder="1" applyAlignment="1" applyProtection="1">
      <alignment horizontal="center" vertical="center"/>
      <protection locked="0"/>
    </xf>
    <xf numFmtId="0" fontId="2" fillId="6" borderId="105" xfId="0" applyNumberFormat="1" applyFont="1" applyFill="1" applyBorder="1" applyAlignment="1" applyProtection="1">
      <alignment horizontal="left" vertical="center"/>
      <protection locked="0"/>
    </xf>
    <xf numFmtId="0" fontId="2" fillId="6" borderId="106" xfId="0" applyNumberFormat="1" applyFont="1" applyFill="1" applyBorder="1" applyAlignment="1" applyProtection="1">
      <alignment horizontal="left" vertical="center"/>
      <protection locked="0"/>
    </xf>
    <xf numFmtId="0" fontId="2" fillId="7" borderId="106" xfId="0" applyNumberFormat="1" applyFont="1" applyFill="1" applyBorder="1" applyAlignment="1" applyProtection="1">
      <alignment horizontal="center" vertical="center"/>
      <protection locked="0"/>
    </xf>
    <xf numFmtId="0" fontId="2" fillId="7" borderId="108" xfId="0" applyNumberFormat="1" applyFont="1" applyFill="1" applyBorder="1" applyAlignment="1" applyProtection="1">
      <alignment horizontal="center" vertical="center"/>
      <protection locked="0"/>
    </xf>
    <xf numFmtId="0" fontId="2" fillId="7" borderId="11" xfId="0" applyNumberFormat="1" applyFont="1" applyFill="1" applyBorder="1" applyAlignment="1" applyProtection="1">
      <alignment horizontal="left" vertical="center"/>
      <protection locked="0"/>
    </xf>
    <xf numFmtId="0" fontId="2" fillId="7" borderId="4" xfId="0" applyNumberFormat="1" applyFont="1" applyFill="1" applyBorder="1" applyAlignment="1" applyProtection="1">
      <alignment horizontal="left" vertical="center"/>
      <protection locked="0"/>
    </xf>
    <xf numFmtId="0" fontId="2" fillId="0" borderId="106" xfId="0" applyNumberFormat="1" applyFont="1" applyBorder="1" applyAlignment="1" applyProtection="1">
      <alignment horizontal="left" vertical="center"/>
      <protection locked="0"/>
    </xf>
    <xf numFmtId="0" fontId="2" fillId="0" borderId="107" xfId="0" applyNumberFormat="1" applyFont="1" applyBorder="1" applyAlignment="1" applyProtection="1">
      <alignment horizontal="left" vertical="center"/>
      <protection locked="0"/>
    </xf>
    <xf numFmtId="0" fontId="2" fillId="0" borderId="108" xfId="0" applyNumberFormat="1" applyFont="1" applyBorder="1" applyAlignment="1" applyProtection="1">
      <alignment horizontal="left" vertical="center"/>
      <protection locked="0"/>
    </xf>
    <xf numFmtId="0" fontId="2" fillId="6" borderId="106" xfId="0" applyNumberFormat="1" applyFont="1" applyFill="1" applyBorder="1" applyAlignment="1" applyProtection="1">
      <alignment horizontal="center" vertical="center"/>
      <protection locked="0"/>
    </xf>
    <xf numFmtId="0" fontId="2" fillId="6" borderId="108" xfId="0" applyNumberFormat="1" applyFont="1" applyFill="1" applyBorder="1" applyAlignment="1" applyProtection="1">
      <alignment horizontal="center" vertical="center"/>
      <protection locked="0"/>
    </xf>
    <xf numFmtId="0" fontId="2" fillId="6" borderId="101" xfId="0" applyNumberFormat="1" applyFont="1" applyFill="1" applyBorder="1" applyAlignment="1" applyProtection="1">
      <alignment horizontal="left" vertical="center"/>
      <protection locked="0"/>
    </xf>
    <xf numFmtId="0" fontId="2" fillId="6" borderId="80" xfId="0" applyNumberFormat="1" applyFont="1" applyFill="1" applyBorder="1" applyAlignment="1" applyProtection="1">
      <alignment horizontal="left" vertical="center"/>
      <protection locked="0"/>
    </xf>
    <xf numFmtId="0" fontId="2" fillId="6" borderId="85" xfId="0" applyNumberFormat="1" applyFont="1" applyFill="1" applyBorder="1" applyAlignment="1" applyProtection="1">
      <alignment horizontal="left" vertical="center"/>
      <protection locked="0"/>
    </xf>
    <xf numFmtId="0" fontId="2" fillId="0" borderId="115" xfId="0" applyNumberFormat="1" applyFont="1" applyBorder="1" applyAlignment="1" applyProtection="1">
      <alignment horizontal="left" vertical="center"/>
      <protection locked="0"/>
    </xf>
    <xf numFmtId="0" fontId="2" fillId="0" borderId="114" xfId="0" applyNumberFormat="1" applyFont="1" applyBorder="1" applyAlignment="1" applyProtection="1">
      <alignment horizontal="center" vertical="center"/>
      <protection locked="0"/>
    </xf>
    <xf numFmtId="0" fontId="2" fillId="0" borderId="113" xfId="0" applyNumberFormat="1" applyFont="1" applyBorder="1" applyAlignment="1" applyProtection="1">
      <alignment horizontal="center" vertical="center"/>
      <protection locked="0"/>
    </xf>
    <xf numFmtId="0" fontId="2" fillId="0" borderId="116" xfId="0" applyNumberFormat="1" applyFont="1" applyBorder="1" applyAlignment="1" applyProtection="1">
      <alignment horizontal="left" vertical="center"/>
      <protection locked="0"/>
    </xf>
    <xf numFmtId="0" fontId="2" fillId="0" borderId="123" xfId="0" applyNumberFormat="1" applyFont="1" applyBorder="1" applyAlignment="1" applyProtection="1">
      <alignment horizontal="center" vertical="center"/>
      <protection locked="0"/>
    </xf>
    <xf numFmtId="0" fontId="2" fillId="0" borderId="124" xfId="0" applyNumberFormat="1" applyFont="1" applyBorder="1" applyAlignment="1" applyProtection="1">
      <alignment horizontal="center" vertical="center"/>
      <protection locked="0"/>
    </xf>
    <xf numFmtId="0" fontId="2" fillId="0" borderId="26" xfId="0" applyNumberFormat="1" applyFont="1" applyBorder="1" applyAlignment="1" applyProtection="1">
      <alignment horizontal="center" vertical="center"/>
      <protection locked="0"/>
    </xf>
    <xf numFmtId="0" fontId="2" fillId="0" borderId="31" xfId="0" applyNumberFormat="1" applyFont="1" applyBorder="1" applyAlignment="1" applyProtection="1">
      <alignment horizontal="left" vertical="center"/>
      <protection locked="0"/>
    </xf>
    <xf numFmtId="0" fontId="2" fillId="6" borderId="11" xfId="0" applyNumberFormat="1" applyFont="1" applyFill="1" applyBorder="1" applyAlignment="1" applyProtection="1">
      <alignment horizontal="left" vertical="center"/>
      <protection locked="0"/>
    </xf>
    <xf numFmtId="0" fontId="2" fillId="6" borderId="4" xfId="0" applyNumberFormat="1" applyFont="1" applyFill="1" applyBorder="1" applyAlignment="1" applyProtection="1">
      <alignment horizontal="left" vertical="center"/>
      <protection locked="0"/>
    </xf>
    <xf numFmtId="164" fontId="0" fillId="0" borderId="0" xfId="0" applyAlignment="1">
      <alignment vertical="center" wrapText="1"/>
    </xf>
    <xf numFmtId="172" fontId="0" fillId="0" borderId="0" xfId="0" applyNumberFormat="1" applyAlignment="1">
      <alignment vertical="center" wrapText="1"/>
    </xf>
    <xf numFmtId="172" fontId="0" fillId="0" borderId="0" xfId="0" applyNumberFormat="1">
      <alignment vertical="center"/>
    </xf>
    <xf numFmtId="175" fontId="0" fillId="0" borderId="0" xfId="0" applyNumberFormat="1" applyAlignment="1">
      <alignment vertical="center" wrapText="1"/>
    </xf>
  </cellXfs>
  <cellStyles count="4">
    <cellStyle name="Hyperlink" xfId="3" builtinId="8"/>
    <cellStyle name="Normal" xfId="0" builtinId="0"/>
    <cellStyle name="Normal 2_PPAP Sample" xfId="2" xr:uid="{00000000-0005-0000-0000-000001000000}"/>
    <cellStyle name="Normal 3" xfId="1" xr:uid="{00000000-0005-0000-0000-000002000000}"/>
  </cellStyles>
  <dxfs count="14">
    <dxf>
      <numFmt numFmtId="172" formatCode="[$-F800]dddd\,\ mmmm\ dd\,\ 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3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108211</xdr:colOff>
      <xdr:row>3</xdr:row>
      <xdr:rowOff>105194</xdr:rowOff>
    </xdr:from>
    <xdr:to>
      <xdr:col>9</xdr:col>
      <xdr:colOff>191750</xdr:colOff>
      <xdr:row>5</xdr:row>
      <xdr:rowOff>26181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2C30082-337A-4BE6-9D53-ACA16D5B3943}"/>
            </a:ext>
          </a:extLst>
        </xdr:cNvPr>
        <xdr:cNvGrpSpPr/>
      </xdr:nvGrpSpPr>
      <xdr:grpSpPr>
        <a:xfrm>
          <a:off x="1797863" y="734672"/>
          <a:ext cx="1027757" cy="335118"/>
          <a:chOff x="648775" y="4729297"/>
          <a:chExt cx="1040923" cy="27267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D5E7153-A9A5-C0CD-C215-71F60F599D3F}"/>
              </a:ext>
            </a:extLst>
          </xdr:cNvPr>
          <xdr:cNvSpPr/>
        </xdr:nvSpPr>
        <xdr:spPr>
          <a:xfrm>
            <a:off x="956192" y="4729297"/>
            <a:ext cx="73350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R02 CPU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0C16245-A70D-D47B-734D-B72666BDC4C2}"/>
              </a:ext>
            </a:extLst>
          </xdr:cNvPr>
          <xdr:cNvSpPr txBox="1"/>
        </xdr:nvSpPr>
        <xdr:spPr>
          <a:xfrm>
            <a:off x="648775" y="4731564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01</a:t>
            </a:r>
          </a:p>
        </xdr:txBody>
      </xdr:sp>
    </xdr:grpSp>
    <xdr:clientData/>
  </xdr:twoCellAnchor>
  <xdr:twoCellAnchor>
    <xdr:from>
      <xdr:col>1</xdr:col>
      <xdr:colOff>46983</xdr:colOff>
      <xdr:row>6</xdr:row>
      <xdr:rowOff>70974</xdr:rowOff>
    </xdr:from>
    <xdr:to>
      <xdr:col>4</xdr:col>
      <xdr:colOff>103451</xdr:colOff>
      <xdr:row>7</xdr:row>
      <xdr:rowOff>171018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6C7E25B-9248-4C05-8DDA-52FFDB822C9D}"/>
            </a:ext>
            <a:ext uri="{147F2762-F138-4A5C-976F-8EAC2B608ADB}">
              <a16:predDERef xmlns:a16="http://schemas.microsoft.com/office/drawing/2014/main" pred="{00000000-0008-0000-0900-000013000000}"/>
            </a:ext>
          </a:extLst>
        </xdr:cNvPr>
        <xdr:cNvGrpSpPr/>
      </xdr:nvGrpSpPr>
      <xdr:grpSpPr>
        <a:xfrm>
          <a:off x="162940" y="1321648"/>
          <a:ext cx="1000685" cy="307109"/>
          <a:chOff x="2013862" y="4128460"/>
          <a:chExt cx="1013852" cy="27589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E2B74E25-B4FE-6786-1EFF-9FB72720434F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C5609B5A-F931-131A-497C-06908508A645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F44F7EA-A455-05CB-F8FD-E67E142161C2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51706084-99FE-A190-3FD8-9F90557D682F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E1592DF0-BF44-B5E6-1405-FC1A00235727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5C30E647-7486-D4AF-B652-1DA11C2CBC79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CE700AE0-F651-5A52-F9B7-3F171ACABA38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ED1324D3-3762-8EF5-B99C-77F69C52DC49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C567A99-6762-3DEB-E54E-2F5FF50A0EAB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F193F07-766C-B59B-3BBB-17F3B00A7AB0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03</a:t>
            </a:r>
          </a:p>
        </xdr:txBody>
      </xdr:sp>
    </xdr:grpSp>
    <xdr:clientData/>
  </xdr:twoCellAnchor>
  <xdr:twoCellAnchor>
    <xdr:from>
      <xdr:col>8</xdr:col>
      <xdr:colOff>134263</xdr:colOff>
      <xdr:row>12</xdr:row>
      <xdr:rowOff>19069</xdr:rowOff>
    </xdr:from>
    <xdr:to>
      <xdr:col>11</xdr:col>
      <xdr:colOff>219715</xdr:colOff>
      <xdr:row>13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03BF788-AC77-40A5-BA93-58B81ED408E1}"/>
            </a:ext>
            <a:ext uri="{147F2762-F138-4A5C-976F-8EAC2B608ADB}">
              <a16:predDERef xmlns:a16="http://schemas.microsoft.com/office/drawing/2014/main" pred="{00000000-0008-0000-0900-000012000000}"/>
            </a:ext>
          </a:extLst>
        </xdr:cNvPr>
        <xdr:cNvGrpSpPr/>
      </xdr:nvGrpSpPr>
      <xdr:grpSpPr>
        <a:xfrm>
          <a:off x="2453393" y="2512134"/>
          <a:ext cx="1029670" cy="187996"/>
          <a:chOff x="954877" y="2135737"/>
          <a:chExt cx="1042837" cy="272997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74A4EC0C-CE2F-5668-9420-D1B6257CA90D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FX5U CPU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E8E7930-C469-22EF-FBD3-2B18B0FD26FF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02</a:t>
            </a:r>
          </a:p>
        </xdr:txBody>
      </xdr:sp>
    </xdr:grpSp>
    <xdr:clientData/>
  </xdr:twoCellAnchor>
  <xdr:twoCellAnchor>
    <xdr:from>
      <xdr:col>14</xdr:col>
      <xdr:colOff>40481</xdr:colOff>
      <xdr:row>6</xdr:row>
      <xdr:rowOff>70973</xdr:rowOff>
    </xdr:from>
    <xdr:to>
      <xdr:col>17</xdr:col>
      <xdr:colOff>96948</xdr:colOff>
      <xdr:row>7</xdr:row>
      <xdr:rowOff>171017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F6D9802A-3F7F-487A-B93C-576776C27D25}"/>
            </a:ext>
          </a:extLst>
        </xdr:cNvPr>
        <xdr:cNvGrpSpPr/>
      </xdr:nvGrpSpPr>
      <xdr:grpSpPr>
        <a:xfrm>
          <a:off x="4248046" y="1321647"/>
          <a:ext cx="1000685" cy="307109"/>
          <a:chOff x="2013862" y="4128460"/>
          <a:chExt cx="1013852" cy="275890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B9EAB24F-F4DD-38C9-2C0D-7AE84DDB0712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3E998BA4-B15D-C595-D075-0F4DF73471D1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4FF76FC3-4ED3-A9F8-A211-804ABA2A402B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FFE8676B-5252-66F6-366D-AB81977E09A2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12825D22-F0F2-3731-ED9B-F1C496D91553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00EF1AA2-E39B-D754-2C08-C11E9AB81890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EF06631A-971C-6E82-63D6-D6C849880925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72F9D656-0952-44FA-DE18-5B5830C7872F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C512B603-6CD7-BA83-572B-56B457EF8CE9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5CDE5D3-C322-AEA5-36E3-D4DAC6B557AE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04</a:t>
            </a:r>
          </a:p>
        </xdr:txBody>
      </xdr:sp>
    </xdr:grpSp>
    <xdr:clientData/>
  </xdr:twoCellAnchor>
  <xdr:twoCellAnchor>
    <xdr:from>
      <xdr:col>2</xdr:col>
      <xdr:colOff>79816</xdr:colOff>
      <xdr:row>4</xdr:row>
      <xdr:rowOff>66820</xdr:rowOff>
    </xdr:from>
    <xdr:to>
      <xdr:col>6</xdr:col>
      <xdr:colOff>108212</xdr:colOff>
      <xdr:row>6</xdr:row>
      <xdr:rowOff>70973</xdr:rowOff>
    </xdr:to>
    <xdr:cxnSp macro="">
      <xdr:nvCxnSpPr>
        <xdr:cNvPr id="30" name="Elbow Connector 34">
          <a:extLst>
            <a:ext uri="{FF2B5EF4-FFF2-40B4-BE49-F238E27FC236}">
              <a16:creationId xmlns:a16="http://schemas.microsoft.com/office/drawing/2014/main" id="{1C126F32-2B1D-4B88-9120-E2C2E3C51C5F}"/>
            </a:ext>
            <a:ext uri="{147F2762-F138-4A5C-976F-8EAC2B608ADB}">
              <a16:predDERef xmlns:a16="http://schemas.microsoft.com/office/drawing/2014/main" pred="{00000000-0008-0000-0900-000015000000}"/>
            </a:ext>
          </a:extLst>
        </xdr:cNvPr>
        <xdr:cNvCxnSpPr>
          <a:stCxn id="4" idx="1"/>
          <a:endCxn id="8" idx="0"/>
          <a:extLst>
            <a:ext uri="{5F17804C-33F3-41E3-A699-7DCFA2EF7971}">
              <a16:cxnDERefs xmlns:a16="http://schemas.microsoft.com/office/drawing/2014/main" st="{00000000-0008-0000-0900-00000D000000}" end="{00000000-0008-0000-0900-000002000000}"/>
            </a:ext>
          </a:extLst>
        </xdr:cNvCxnSpPr>
      </xdr:nvCxnSpPr>
      <xdr:spPr>
        <a:xfrm rot="10800000" flipV="1">
          <a:off x="708466" y="828820"/>
          <a:ext cx="1285696" cy="385153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191750</xdr:colOff>
      <xdr:row>4</xdr:row>
      <xdr:rowOff>64554</xdr:rowOff>
    </xdr:from>
    <xdr:to>
      <xdr:col>15</xdr:col>
      <xdr:colOff>162664</xdr:colOff>
      <xdr:row>6</xdr:row>
      <xdr:rowOff>70973</xdr:rowOff>
    </xdr:to>
    <xdr:cxnSp macro="">
      <xdr:nvCxnSpPr>
        <xdr:cNvPr id="31" name="Elbow Connector 36">
          <a:extLst>
            <a:ext uri="{FF2B5EF4-FFF2-40B4-BE49-F238E27FC236}">
              <a16:creationId xmlns:a16="http://schemas.microsoft.com/office/drawing/2014/main" id="{0B253758-24DA-4B49-BE42-1555927F8052}"/>
            </a:ext>
          </a:extLst>
        </xdr:cNvPr>
        <xdr:cNvCxnSpPr>
          <a:stCxn id="3" idx="3"/>
          <a:endCxn id="23" idx="0"/>
        </xdr:cNvCxnSpPr>
      </xdr:nvCxnSpPr>
      <xdr:spPr>
        <a:xfrm>
          <a:off x="3020675" y="826554"/>
          <a:ext cx="1856864" cy="387419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117231</xdr:colOff>
      <xdr:row>3</xdr:row>
      <xdr:rowOff>58616</xdr:rowOff>
    </xdr:from>
    <xdr:ext cx="291939" cy="233205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6033A4E-6BCA-460F-A924-B9C7D4217FCA}"/>
            </a:ext>
          </a:extLst>
        </xdr:cNvPr>
        <xdr:cNvSpPr txBox="1"/>
      </xdr:nvSpPr>
      <xdr:spPr>
        <a:xfrm>
          <a:off x="1060206" y="630116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</a:t>
          </a:r>
        </a:p>
      </xdr:txBody>
    </xdr:sp>
    <xdr:clientData/>
  </xdr:oneCellAnchor>
  <xdr:oneCellAnchor>
    <xdr:from>
      <xdr:col>11</xdr:col>
      <xdr:colOff>195385</xdr:colOff>
      <xdr:row>3</xdr:row>
      <xdr:rowOff>58616</xdr:rowOff>
    </xdr:from>
    <xdr:ext cx="291939" cy="23320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7798077-DC6A-481D-8AC1-F80971E83590}"/>
            </a:ext>
          </a:extLst>
        </xdr:cNvPr>
        <xdr:cNvSpPr txBox="1"/>
      </xdr:nvSpPr>
      <xdr:spPr>
        <a:xfrm>
          <a:off x="3652960" y="630116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</a:t>
          </a:r>
        </a:p>
      </xdr:txBody>
    </xdr:sp>
    <xdr:clientData/>
  </xdr:oneCellAnchor>
  <xdr:twoCellAnchor>
    <xdr:from>
      <xdr:col>4</xdr:col>
      <xdr:colOff>66529</xdr:colOff>
      <xdr:row>9</xdr:row>
      <xdr:rowOff>123073</xdr:rowOff>
    </xdr:from>
    <xdr:to>
      <xdr:col>7</xdr:col>
      <xdr:colOff>122996</xdr:colOff>
      <xdr:row>11</xdr:row>
      <xdr:rowOff>47270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4E0BB0FE-D181-4DE0-B1FA-A05EEA769E22}"/>
            </a:ext>
          </a:extLst>
        </xdr:cNvPr>
        <xdr:cNvGrpSpPr/>
      </xdr:nvGrpSpPr>
      <xdr:grpSpPr>
        <a:xfrm>
          <a:off x="1126703" y="1994943"/>
          <a:ext cx="1000684" cy="338327"/>
          <a:chOff x="2013862" y="4128460"/>
          <a:chExt cx="1013852" cy="275890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D8720F76-1B75-0909-9A94-0CCA64A826A1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C7D89CE9-549F-848B-C9D3-17C9FB8B54A8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59D6BDB8-DE51-0926-FC79-C6FD6D6E5F45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5C6FD9AE-F889-CC45-004C-558E622F4E97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B3FC4007-2C18-2650-C199-D3A607FF5EEC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876FD7C3-DE94-0864-7240-B9AA5C3D0876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4190D487-3472-EB32-698B-9CF4816126D9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9FBC3188-2D42-A4F6-4892-4A42B781EC59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12F89903-994D-51CD-F1A8-A322CBBF202F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6ABBBA9B-DABE-9945-D36A-3F0B3EDB043F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05</a:t>
            </a:r>
          </a:p>
        </xdr:txBody>
      </xdr:sp>
    </xdr:grpSp>
    <xdr:clientData/>
  </xdr:twoCellAnchor>
  <xdr:twoCellAnchor>
    <xdr:from>
      <xdr:col>11</xdr:col>
      <xdr:colOff>314016</xdr:colOff>
      <xdr:row>9</xdr:row>
      <xdr:rowOff>129586</xdr:rowOff>
    </xdr:from>
    <xdr:to>
      <xdr:col>15</xdr:col>
      <xdr:colOff>51355</xdr:colOff>
      <xdr:row>11</xdr:row>
      <xdr:rowOff>53783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EC219B74-604C-4AD6-A231-D233C2A252F5}"/>
            </a:ext>
          </a:extLst>
        </xdr:cNvPr>
        <xdr:cNvGrpSpPr/>
      </xdr:nvGrpSpPr>
      <xdr:grpSpPr>
        <a:xfrm>
          <a:off x="3577364" y="2001456"/>
          <a:ext cx="996295" cy="338327"/>
          <a:chOff x="2013862" y="4128460"/>
          <a:chExt cx="1013852" cy="275890"/>
        </a:xfrm>
      </xdr:grpSpPr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4F2A9C14-63D4-582A-46C7-61C66C5B68D6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319D93A9-4BA9-F236-967B-469B63E0D04B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C629B8F-C4A6-F78E-B8FB-C346CE968F29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A419CE2-6E44-4593-F41A-F27F10A81499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F8F0A4C9-07A8-4048-1A48-769ACEBEF814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91D3C6FE-02D0-F3B2-1312-B80E1D09B261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E492DD37-6919-603D-A24D-53FF7145A2D3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F892C991-E850-71E7-FB0D-E7EA982F1C6D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57C70CB2-DF75-D407-5573-EB1BDFEF5A6D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B9D7B2CE-CF8C-98E0-306B-4B3A3FCEE4C7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06</a:t>
            </a:r>
          </a:p>
        </xdr:txBody>
      </xdr:sp>
    </xdr:grpSp>
    <xdr:clientData/>
  </xdr:twoCellAnchor>
  <xdr:twoCellAnchor>
    <xdr:from>
      <xdr:col>7</xdr:col>
      <xdr:colOff>78601</xdr:colOff>
      <xdr:row>11</xdr:row>
      <xdr:rowOff>47112</xdr:rowOff>
    </xdr:from>
    <xdr:to>
      <xdr:col>8</xdr:col>
      <xdr:colOff>134264</xdr:colOff>
      <xdr:row>12</xdr:row>
      <xdr:rowOff>156860</xdr:rowOff>
    </xdr:to>
    <xdr:cxnSp macro="">
      <xdr:nvCxnSpPr>
        <xdr:cNvPr id="56" name="Elbow Connector 62">
          <a:extLst>
            <a:ext uri="{FF2B5EF4-FFF2-40B4-BE49-F238E27FC236}">
              <a16:creationId xmlns:a16="http://schemas.microsoft.com/office/drawing/2014/main" id="{F35561C2-90C0-46A1-ADAF-E3B19ECDF67A}"/>
            </a:ext>
            <a:ext uri="{147F2762-F138-4A5C-976F-8EAC2B608ADB}">
              <a16:predDERef xmlns:a16="http://schemas.microsoft.com/office/drawing/2014/main" pred="{00000000-0008-0000-0900-000033000000}"/>
            </a:ext>
          </a:extLst>
        </xdr:cNvPr>
        <xdr:cNvCxnSpPr>
          <a:stCxn id="18" idx="1"/>
          <a:endCxn id="44" idx="2"/>
          <a:extLst>
            <a:ext uri="{5F17804C-33F3-41E3-A699-7DCFA2EF7971}">
              <a16:cxnDERefs xmlns:a16="http://schemas.microsoft.com/office/drawing/2014/main" st="{00000000-0008-0000-0900-00000F000000}" end="{00000000-0008-0000-0900-000032000000}"/>
            </a:ext>
          </a:extLst>
        </xdr:cNvCxnSpPr>
      </xdr:nvCxnSpPr>
      <xdr:spPr>
        <a:xfrm rot="10800000">
          <a:off x="2278876" y="2142612"/>
          <a:ext cx="369988" cy="300248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219715</xdr:colOff>
      <xdr:row>11</xdr:row>
      <xdr:rowOff>53534</xdr:rowOff>
    </xdr:from>
    <xdr:to>
      <xdr:col>13</xdr:col>
      <xdr:colOff>27720</xdr:colOff>
      <xdr:row>12</xdr:row>
      <xdr:rowOff>154275</xdr:rowOff>
    </xdr:to>
    <xdr:cxnSp macro="">
      <xdr:nvCxnSpPr>
        <xdr:cNvPr id="57" name="Elbow Connector 64">
          <a:extLst>
            <a:ext uri="{FF2B5EF4-FFF2-40B4-BE49-F238E27FC236}">
              <a16:creationId xmlns:a16="http://schemas.microsoft.com/office/drawing/2014/main" id="{DB9D8BDA-BB1A-47FB-B62B-E4015DC10ECA}"/>
            </a:ext>
            <a:ext uri="{147F2762-F138-4A5C-976F-8EAC2B608ADB}">
              <a16:predDERef xmlns:a16="http://schemas.microsoft.com/office/drawing/2014/main" pred="{00000000-0008-0000-0900-00003F000000}"/>
            </a:ext>
          </a:extLst>
        </xdr:cNvPr>
        <xdr:cNvCxnSpPr>
          <a:stCxn id="17" idx="3"/>
          <a:endCxn id="48" idx="2"/>
          <a:extLst>
            <a:ext uri="{5F17804C-33F3-41E3-A699-7DCFA2EF7971}">
              <a16:cxnDERefs xmlns:a16="http://schemas.microsoft.com/office/drawing/2014/main" st="{00000000-0008-0000-0900-00000C000000}" end="{00000000-0008-0000-0900-000036000000}"/>
            </a:ext>
          </a:extLst>
        </xdr:cNvCxnSpPr>
      </xdr:nvCxnSpPr>
      <xdr:spPr>
        <a:xfrm flipV="1">
          <a:off x="3677290" y="2149034"/>
          <a:ext cx="436655" cy="291241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59056</xdr:colOff>
      <xdr:row>7</xdr:row>
      <xdr:rowOff>170860</xdr:rowOff>
    </xdr:from>
    <xdr:to>
      <xdr:col>5</xdr:col>
      <xdr:colOff>99361</xdr:colOff>
      <xdr:row>9</xdr:row>
      <xdr:rowOff>123073</xdr:rowOff>
    </xdr:to>
    <xdr:cxnSp macro="">
      <xdr:nvCxnSpPr>
        <xdr:cNvPr id="58" name="Elbow Connector 66">
          <a:extLst>
            <a:ext uri="{FF2B5EF4-FFF2-40B4-BE49-F238E27FC236}">
              <a16:creationId xmlns:a16="http://schemas.microsoft.com/office/drawing/2014/main" id="{8EBFEBF1-24F9-4540-8191-6BA3664FF9B0}"/>
            </a:ext>
            <a:ext uri="{147F2762-F138-4A5C-976F-8EAC2B608ADB}">
              <a16:predDERef xmlns:a16="http://schemas.microsoft.com/office/drawing/2014/main" pred="{00000000-0008-0000-0900-000041000000}"/>
            </a:ext>
          </a:extLst>
        </xdr:cNvPr>
        <xdr:cNvCxnSpPr>
          <a:stCxn id="37" idx="0"/>
          <a:endCxn id="15" idx="2"/>
          <a:extLst>
            <a:ext uri="{5F17804C-33F3-41E3-A699-7DCFA2EF7971}">
              <a16:cxnDERefs xmlns:a16="http://schemas.microsoft.com/office/drawing/2014/main" st="{00000000-0008-0000-0900-00002B000000}" end="{00000000-0008-0000-0900-000009000000}"/>
            </a:ext>
          </a:extLst>
        </xdr:cNvCxnSpPr>
      </xdr:nvCxnSpPr>
      <xdr:spPr>
        <a:xfrm rot="16200000" flipV="1">
          <a:off x="1327064" y="1493652"/>
          <a:ext cx="333213" cy="35463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27719</xdr:colOff>
      <xdr:row>7</xdr:row>
      <xdr:rowOff>170769</xdr:rowOff>
    </xdr:from>
    <xdr:to>
      <xdr:col>15</xdr:col>
      <xdr:colOff>73311</xdr:colOff>
      <xdr:row>9</xdr:row>
      <xdr:rowOff>129587</xdr:rowOff>
    </xdr:to>
    <xdr:cxnSp macro="">
      <xdr:nvCxnSpPr>
        <xdr:cNvPr id="59" name="Elbow Connector 68">
          <a:extLst>
            <a:ext uri="{FF2B5EF4-FFF2-40B4-BE49-F238E27FC236}">
              <a16:creationId xmlns:a16="http://schemas.microsoft.com/office/drawing/2014/main" id="{ED84E3CF-915E-4E47-B7E3-2A8A37049CFB}"/>
            </a:ext>
          </a:extLst>
        </xdr:cNvPr>
        <xdr:cNvCxnSpPr>
          <a:stCxn id="48" idx="0"/>
          <a:endCxn id="22" idx="2"/>
        </xdr:cNvCxnSpPr>
      </xdr:nvCxnSpPr>
      <xdr:spPr>
        <a:xfrm rot="5400000" flipH="1" flipV="1">
          <a:off x="4281156" y="1337057"/>
          <a:ext cx="339818" cy="674242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127750</xdr:colOff>
      <xdr:row>13</xdr:row>
      <xdr:rowOff>0</xdr:rowOff>
    </xdr:from>
    <xdr:to>
      <xdr:col>11</xdr:col>
      <xdr:colOff>213202</xdr:colOff>
      <xdr:row>15</xdr:row>
      <xdr:rowOff>103191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945308EB-2FA8-4541-9D40-F2C1BF0184E5}"/>
            </a:ext>
          </a:extLst>
        </xdr:cNvPr>
        <xdr:cNvGrpSpPr/>
      </xdr:nvGrpSpPr>
      <xdr:grpSpPr>
        <a:xfrm>
          <a:off x="2446880" y="2700130"/>
          <a:ext cx="1029670" cy="103191"/>
          <a:chOff x="954877" y="2135737"/>
          <a:chExt cx="1042837" cy="272997"/>
        </a:xfrm>
      </xdr:grpSpPr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DD15C4A6-FC96-6D61-399E-D73F22800F97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HMI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DB116F1E-E0DA-E102-08F7-4EDEAF0462D1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07</a:t>
            </a:r>
          </a:p>
        </xdr:txBody>
      </xdr:sp>
    </xdr:grpSp>
    <xdr:clientData/>
  </xdr:twoCellAnchor>
  <xdr:twoCellAnchor>
    <xdr:from>
      <xdr:col>8</xdr:col>
      <xdr:colOff>121238</xdr:colOff>
      <xdr:row>16</xdr:row>
      <xdr:rowOff>6039</xdr:rowOff>
    </xdr:from>
    <xdr:to>
      <xdr:col>11</xdr:col>
      <xdr:colOff>206690</xdr:colOff>
      <xdr:row>17</xdr:row>
      <xdr:rowOff>103190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63C49B27-8D89-4B6F-9B65-A80C0CFB95E2}"/>
            </a:ext>
          </a:extLst>
        </xdr:cNvPr>
        <xdr:cNvGrpSpPr/>
      </xdr:nvGrpSpPr>
      <xdr:grpSpPr>
        <a:xfrm>
          <a:off x="2440368" y="2913235"/>
          <a:ext cx="1029670" cy="304216"/>
          <a:chOff x="954877" y="2135737"/>
          <a:chExt cx="1042837" cy="272997"/>
        </a:xfrm>
      </xdr:grpSpPr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666E238B-4EA5-A2B7-25B3-DF5E2337F15F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MR-J4-GF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7F77202A-6524-355C-2DE3-647B791C79D3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08</a:t>
            </a:r>
          </a:p>
        </xdr:txBody>
      </xdr:sp>
    </xdr:grpSp>
    <xdr:clientData/>
  </xdr:twoCellAnchor>
  <xdr:twoCellAnchor>
    <xdr:from>
      <xdr:col>8</xdr:col>
      <xdr:colOff>121238</xdr:colOff>
      <xdr:row>17</xdr:row>
      <xdr:rowOff>175372</xdr:rowOff>
    </xdr:from>
    <xdr:to>
      <xdr:col>11</xdr:col>
      <xdr:colOff>206690</xdr:colOff>
      <xdr:row>19</xdr:row>
      <xdr:rowOff>96677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7EBAD95C-D102-433C-8FA4-B60336F3D833}"/>
            </a:ext>
          </a:extLst>
        </xdr:cNvPr>
        <xdr:cNvGrpSpPr/>
      </xdr:nvGrpSpPr>
      <xdr:grpSpPr>
        <a:xfrm>
          <a:off x="2440368" y="3289633"/>
          <a:ext cx="1029670" cy="335435"/>
          <a:chOff x="954877" y="2135737"/>
          <a:chExt cx="1042837" cy="272997"/>
        </a:xfrm>
      </xdr:grpSpPr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AD9A2F40-F126-D246-35A7-E51A5EA6C094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RCON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545BB07D-AA5A-4A9A-A256-8075C167B8D4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09</a:t>
            </a:r>
          </a:p>
        </xdr:txBody>
      </xdr:sp>
    </xdr:grpSp>
    <xdr:clientData/>
  </xdr:twoCellAnchor>
  <xdr:twoCellAnchor>
    <xdr:from>
      <xdr:col>11</xdr:col>
      <xdr:colOff>213202</xdr:colOff>
      <xdr:row>11</xdr:row>
      <xdr:rowOff>53534</xdr:rowOff>
    </xdr:from>
    <xdr:to>
      <xdr:col>13</xdr:col>
      <xdr:colOff>117072</xdr:colOff>
      <xdr:row>14</xdr:row>
      <xdr:rowOff>141246</xdr:rowOff>
    </xdr:to>
    <xdr:cxnSp macro="">
      <xdr:nvCxnSpPr>
        <xdr:cNvPr id="69" name="Elbow Connector 84">
          <a:extLst>
            <a:ext uri="{FF2B5EF4-FFF2-40B4-BE49-F238E27FC236}">
              <a16:creationId xmlns:a16="http://schemas.microsoft.com/office/drawing/2014/main" id="{BA973C33-2451-4948-832E-7795F6A8F541}"/>
            </a:ext>
          </a:extLst>
        </xdr:cNvPr>
        <xdr:cNvCxnSpPr>
          <a:stCxn id="61" idx="3"/>
          <a:endCxn id="49" idx="2"/>
        </xdr:cNvCxnSpPr>
      </xdr:nvCxnSpPr>
      <xdr:spPr>
        <a:xfrm flipV="1">
          <a:off x="3670777" y="2149034"/>
          <a:ext cx="532520" cy="659212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206690</xdr:colOff>
      <xdr:row>11</xdr:row>
      <xdr:rowOff>53534</xdr:rowOff>
    </xdr:from>
    <xdr:to>
      <xdr:col>13</xdr:col>
      <xdr:colOff>206425</xdr:colOff>
      <xdr:row>16</xdr:row>
      <xdr:rowOff>141245</xdr:rowOff>
    </xdr:to>
    <xdr:cxnSp macro="">
      <xdr:nvCxnSpPr>
        <xdr:cNvPr id="70" name="Elbow Connector 86">
          <a:extLst>
            <a:ext uri="{FF2B5EF4-FFF2-40B4-BE49-F238E27FC236}">
              <a16:creationId xmlns:a16="http://schemas.microsoft.com/office/drawing/2014/main" id="{0F9D54FB-B62B-4084-A0BC-66DCA9950B3D}"/>
            </a:ext>
          </a:extLst>
        </xdr:cNvPr>
        <xdr:cNvCxnSpPr>
          <a:stCxn id="64" idx="3"/>
          <a:endCxn id="50" idx="2"/>
        </xdr:cNvCxnSpPr>
      </xdr:nvCxnSpPr>
      <xdr:spPr>
        <a:xfrm flipV="1">
          <a:off x="3664265" y="2149034"/>
          <a:ext cx="628385" cy="1040211"/>
        </a:xfrm>
        <a:prstGeom prst="bentConnector2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310078</xdr:colOff>
      <xdr:row>11</xdr:row>
      <xdr:rowOff>47112</xdr:rowOff>
    </xdr:from>
    <xdr:to>
      <xdr:col>8</xdr:col>
      <xdr:colOff>121239</xdr:colOff>
      <xdr:row>18</xdr:row>
      <xdr:rowOff>137317</xdr:rowOff>
    </xdr:to>
    <xdr:cxnSp macro="">
      <xdr:nvCxnSpPr>
        <xdr:cNvPr id="71" name="Elbow Connector 88">
          <a:extLst>
            <a:ext uri="{FF2B5EF4-FFF2-40B4-BE49-F238E27FC236}">
              <a16:creationId xmlns:a16="http://schemas.microsoft.com/office/drawing/2014/main" id="{34260561-5547-4994-BE1F-B3267EDE75CF}"/>
            </a:ext>
          </a:extLst>
        </xdr:cNvPr>
        <xdr:cNvCxnSpPr>
          <a:stCxn id="68" idx="1"/>
          <a:endCxn id="43" idx="2"/>
        </xdr:cNvCxnSpPr>
      </xdr:nvCxnSpPr>
      <xdr:spPr>
        <a:xfrm rot="10800000">
          <a:off x="2196028" y="2142612"/>
          <a:ext cx="439811" cy="1423705"/>
        </a:xfrm>
        <a:prstGeom prst="bentConnector2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110718</xdr:colOff>
      <xdr:row>6</xdr:row>
      <xdr:rowOff>58615</xdr:rowOff>
    </xdr:from>
    <xdr:to>
      <xdr:col>13</xdr:col>
      <xdr:colOff>65129</xdr:colOff>
      <xdr:row>7</xdr:row>
      <xdr:rowOff>153181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5E0D2A04-F2A5-4462-9256-646F3DA8F32D}"/>
            </a:ext>
          </a:extLst>
        </xdr:cNvPr>
        <xdr:cNvSpPr/>
      </xdr:nvSpPr>
      <xdr:spPr>
        <a:xfrm>
          <a:off x="3568293" y="1201615"/>
          <a:ext cx="583061" cy="285066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rgbClr val="0000FF"/>
              </a:solidFill>
            </a:rPr>
            <a:t>IPC</a:t>
          </a:r>
        </a:p>
      </xdr:txBody>
    </xdr:sp>
    <xdr:clientData/>
  </xdr:twoCellAnchor>
  <xdr:twoCellAnchor>
    <xdr:from>
      <xdr:col>12</xdr:col>
      <xdr:colOff>87924</xdr:colOff>
      <xdr:row>6</xdr:row>
      <xdr:rowOff>58615</xdr:rowOff>
    </xdr:from>
    <xdr:to>
      <xdr:col>15</xdr:col>
      <xdr:colOff>73312</xdr:colOff>
      <xdr:row>6</xdr:row>
      <xdr:rowOff>70973</xdr:rowOff>
    </xdr:to>
    <xdr:cxnSp macro="">
      <xdr:nvCxnSpPr>
        <xdr:cNvPr id="73" name="Elbow Connector 92">
          <a:extLst>
            <a:ext uri="{FF2B5EF4-FFF2-40B4-BE49-F238E27FC236}">
              <a16:creationId xmlns:a16="http://schemas.microsoft.com/office/drawing/2014/main" id="{0C5492C2-65DB-4BD5-AFD9-70CFF29F5B7E}"/>
            </a:ext>
          </a:extLst>
        </xdr:cNvPr>
        <xdr:cNvCxnSpPr>
          <a:stCxn id="22" idx="0"/>
          <a:endCxn id="72" idx="0"/>
        </xdr:cNvCxnSpPr>
      </xdr:nvCxnSpPr>
      <xdr:spPr>
        <a:xfrm rot="16200000" flipV="1">
          <a:off x="4317827" y="743612"/>
          <a:ext cx="12358" cy="928363"/>
        </a:xfrm>
        <a:prstGeom prst="bentConnector3">
          <a:avLst>
            <a:gd name="adj1" fmla="val 1949814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149795</xdr:colOff>
      <xdr:row>5</xdr:row>
      <xdr:rowOff>52103</xdr:rowOff>
    </xdr:from>
    <xdr:ext cx="291939" cy="23320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C895AA5C-AA2A-4D63-9213-537FDEE998C3}"/>
            </a:ext>
          </a:extLst>
        </xdr:cNvPr>
        <xdr:cNvSpPr txBox="1"/>
      </xdr:nvSpPr>
      <xdr:spPr>
        <a:xfrm>
          <a:off x="3607370" y="1004603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</a:t>
          </a:r>
        </a:p>
      </xdr:txBody>
    </xdr:sp>
    <xdr:clientData/>
  </xdr:oneCellAnchor>
  <xdr:oneCellAnchor>
    <xdr:from>
      <xdr:col>4</xdr:col>
      <xdr:colOff>156309</xdr:colOff>
      <xdr:row>7</xdr:row>
      <xdr:rowOff>136770</xdr:rowOff>
    </xdr:from>
    <xdr:ext cx="291939" cy="233205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F399583-FD2D-46DD-A6A8-21F2192E144F}"/>
            </a:ext>
          </a:extLst>
        </xdr:cNvPr>
        <xdr:cNvSpPr txBox="1"/>
      </xdr:nvSpPr>
      <xdr:spPr>
        <a:xfrm>
          <a:off x="1413609" y="1470270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</a:t>
          </a:r>
        </a:p>
      </xdr:txBody>
    </xdr:sp>
    <xdr:clientData/>
  </xdr:oneCellAnchor>
  <xdr:oneCellAnchor>
    <xdr:from>
      <xdr:col>13</xdr:col>
      <xdr:colOff>84668</xdr:colOff>
      <xdr:row>7</xdr:row>
      <xdr:rowOff>149796</xdr:rowOff>
    </xdr:from>
    <xdr:ext cx="291939" cy="233205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D6517A6-598A-4C13-9F94-B8D731409879}"/>
            </a:ext>
          </a:extLst>
        </xdr:cNvPr>
        <xdr:cNvSpPr txBox="1"/>
      </xdr:nvSpPr>
      <xdr:spPr>
        <a:xfrm>
          <a:off x="4170893" y="1483296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</a:t>
          </a:r>
        </a:p>
      </xdr:txBody>
    </xdr:sp>
    <xdr:clientData/>
  </xdr:oneCellAnchor>
  <xdr:twoCellAnchor>
    <xdr:from>
      <xdr:col>17</xdr:col>
      <xdr:colOff>259584</xdr:colOff>
      <xdr:row>10</xdr:row>
      <xdr:rowOff>24192</xdr:rowOff>
    </xdr:from>
    <xdr:to>
      <xdr:col>18</xdr:col>
      <xdr:colOff>318198</xdr:colOff>
      <xdr:row>11</xdr:row>
      <xdr:rowOff>11165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B595E6F8-8829-49A1-8412-B87E87FD060F}"/>
            </a:ext>
          </a:extLst>
        </xdr:cNvPr>
        <xdr:cNvSpPr/>
      </xdr:nvSpPr>
      <xdr:spPr>
        <a:xfrm>
          <a:off x="5603109" y="1929192"/>
          <a:ext cx="372939" cy="17747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PC</a:t>
          </a:r>
        </a:p>
      </xdr:txBody>
    </xdr:sp>
    <xdr:clientData/>
  </xdr:twoCellAnchor>
  <xdr:twoCellAnchor>
    <xdr:from>
      <xdr:col>17</xdr:col>
      <xdr:colOff>51573</xdr:colOff>
      <xdr:row>7</xdr:row>
      <xdr:rowOff>170856</xdr:rowOff>
    </xdr:from>
    <xdr:to>
      <xdr:col>18</xdr:col>
      <xdr:colOff>125604</xdr:colOff>
      <xdr:row>10</xdr:row>
      <xdr:rowOff>24192</xdr:rowOff>
    </xdr:to>
    <xdr:cxnSp macro="">
      <xdr:nvCxnSpPr>
        <xdr:cNvPr id="78" name="Elbow Connector 99">
          <a:extLst>
            <a:ext uri="{FF2B5EF4-FFF2-40B4-BE49-F238E27FC236}">
              <a16:creationId xmlns:a16="http://schemas.microsoft.com/office/drawing/2014/main" id="{EF209956-2D0A-4AD3-909D-8BBAF2203D96}"/>
            </a:ext>
          </a:extLst>
        </xdr:cNvPr>
        <xdr:cNvCxnSpPr>
          <a:stCxn id="29" idx="2"/>
          <a:endCxn id="77" idx="0"/>
        </xdr:cNvCxnSpPr>
      </xdr:nvCxnSpPr>
      <xdr:spPr>
        <a:xfrm rot="16200000" flipH="1">
          <a:off x="5376858" y="1522596"/>
          <a:ext cx="424836" cy="388356"/>
        </a:xfrm>
        <a:prstGeom prst="bentConnector3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290752</xdr:colOff>
      <xdr:row>13</xdr:row>
      <xdr:rowOff>95135</xdr:rowOff>
    </xdr:from>
    <xdr:to>
      <xdr:col>19</xdr:col>
      <xdr:colOff>22795</xdr:colOff>
      <xdr:row>14</xdr:row>
      <xdr:rowOff>82108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FE0921BE-693E-48A3-A244-F8C43FD3FE44}"/>
            </a:ext>
          </a:extLst>
        </xdr:cNvPr>
        <xdr:cNvSpPr/>
      </xdr:nvSpPr>
      <xdr:spPr>
        <a:xfrm>
          <a:off x="5634277" y="2571635"/>
          <a:ext cx="360693" cy="17747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PC</a:t>
          </a:r>
        </a:p>
      </xdr:txBody>
    </xdr:sp>
    <xdr:clientData/>
  </xdr:twoCellAnchor>
  <xdr:twoCellAnchor>
    <xdr:from>
      <xdr:col>15</xdr:col>
      <xdr:colOff>5656</xdr:colOff>
      <xdr:row>11</xdr:row>
      <xdr:rowOff>53618</xdr:rowOff>
    </xdr:from>
    <xdr:to>
      <xdr:col>18</xdr:col>
      <xdr:colOff>156774</xdr:colOff>
      <xdr:row>13</xdr:row>
      <xdr:rowOff>95134</xdr:rowOff>
    </xdr:to>
    <xdr:cxnSp macro="">
      <xdr:nvCxnSpPr>
        <xdr:cNvPr id="80" name="Elbow Connector 106">
          <a:extLst>
            <a:ext uri="{FF2B5EF4-FFF2-40B4-BE49-F238E27FC236}">
              <a16:creationId xmlns:a16="http://schemas.microsoft.com/office/drawing/2014/main" id="{6583638A-51A6-416B-B0E7-06B502DAB1D7}"/>
            </a:ext>
          </a:extLst>
        </xdr:cNvPr>
        <xdr:cNvCxnSpPr>
          <a:stCxn id="55" idx="2"/>
          <a:endCxn id="79" idx="0"/>
        </xdr:cNvCxnSpPr>
      </xdr:nvCxnSpPr>
      <xdr:spPr>
        <a:xfrm rot="16200000" flipH="1">
          <a:off x="5056320" y="1813329"/>
          <a:ext cx="422516" cy="1094093"/>
        </a:xfrm>
        <a:prstGeom prst="bentConnector3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110717</xdr:colOff>
      <xdr:row>6</xdr:row>
      <xdr:rowOff>58615</xdr:rowOff>
    </xdr:from>
    <xdr:to>
      <xdr:col>11</xdr:col>
      <xdr:colOff>101827</xdr:colOff>
      <xdr:row>7</xdr:row>
      <xdr:rowOff>153181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B3FBB8A2-CB5D-4D92-B5EA-2775A8471BA7}"/>
            </a:ext>
          </a:extLst>
        </xdr:cNvPr>
        <xdr:cNvSpPr txBox="1"/>
      </xdr:nvSpPr>
      <xdr:spPr>
        <a:xfrm>
          <a:off x="3253967" y="1201615"/>
          <a:ext cx="305435" cy="285066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</a:rPr>
            <a:t>10</a:t>
          </a:r>
        </a:p>
      </xdr:txBody>
    </xdr:sp>
    <xdr:clientData/>
  </xdr:twoCellAnchor>
  <xdr:twoCellAnchor>
    <xdr:from>
      <xdr:col>8</xdr:col>
      <xdr:colOff>131884</xdr:colOff>
      <xdr:row>22</xdr:row>
      <xdr:rowOff>56035</xdr:rowOff>
    </xdr:from>
    <xdr:to>
      <xdr:col>11</xdr:col>
      <xdr:colOff>188029</xdr:colOff>
      <xdr:row>23</xdr:row>
      <xdr:rowOff>153617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9DABB9B2-E1CA-4E62-9929-7406646C18DF}"/>
            </a:ext>
            <a:ext uri="{147F2762-F138-4A5C-976F-8EAC2B608ADB}">
              <a16:predDERef xmlns:a16="http://schemas.microsoft.com/office/drawing/2014/main" pred="{00000000-0008-0000-0900-000012000000}"/>
            </a:ext>
          </a:extLst>
        </xdr:cNvPr>
        <xdr:cNvGrpSpPr/>
      </xdr:nvGrpSpPr>
      <xdr:grpSpPr>
        <a:xfrm>
          <a:off x="2451014" y="4205622"/>
          <a:ext cx="1000363" cy="304647"/>
          <a:chOff x="954877" y="2135737"/>
          <a:chExt cx="1042837" cy="272997"/>
        </a:xfrm>
      </xdr:grpSpPr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5C14B9E3-BEA8-C619-C0B2-FD9D35937502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900">
                <a:solidFill>
                  <a:srgbClr val="0000FF"/>
                </a:solidFill>
              </a:rPr>
              <a:t>FX5UJ CPU</a:t>
            </a:r>
          </a:p>
        </xdr:txBody>
      </xdr: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5A72D287-0DC6-702E-5CD9-A3349C34F290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800" b="1">
                <a:solidFill>
                  <a:schemeClr val="bg1"/>
                </a:solidFill>
              </a:rPr>
              <a:t>10</a:t>
            </a:r>
          </a:p>
        </xdr:txBody>
      </xdr:sp>
    </xdr:grpSp>
    <xdr:clientData/>
  </xdr:twoCellAnchor>
  <xdr:twoCellAnchor>
    <xdr:from>
      <xdr:col>8</xdr:col>
      <xdr:colOff>131885</xdr:colOff>
      <xdr:row>24</xdr:row>
      <xdr:rowOff>34054</xdr:rowOff>
    </xdr:from>
    <xdr:to>
      <xdr:col>11</xdr:col>
      <xdr:colOff>217337</xdr:colOff>
      <xdr:row>25</xdr:row>
      <xdr:rowOff>131636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FA4C472B-681A-4C04-89A4-2861356BFA4E}"/>
            </a:ext>
          </a:extLst>
        </xdr:cNvPr>
        <xdr:cNvGrpSpPr/>
      </xdr:nvGrpSpPr>
      <xdr:grpSpPr>
        <a:xfrm>
          <a:off x="2451015" y="4597771"/>
          <a:ext cx="1029670" cy="304648"/>
          <a:chOff x="954877" y="2135737"/>
          <a:chExt cx="1042837" cy="272997"/>
        </a:xfrm>
      </xdr:grpSpPr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DF8361AF-F258-E4B8-F626-5FAE837F1561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HMI (2)</a:t>
            </a:r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49595662-197F-0BFC-E702-C31637CACE19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11</a:t>
            </a:r>
          </a:p>
        </xdr:txBody>
      </xdr:sp>
    </xdr:grpSp>
    <xdr:clientData/>
  </xdr:twoCellAnchor>
  <xdr:twoCellAnchor>
    <xdr:from>
      <xdr:col>8</xdr:col>
      <xdr:colOff>131884</xdr:colOff>
      <xdr:row>26</xdr:row>
      <xdr:rowOff>19400</xdr:rowOff>
    </xdr:from>
    <xdr:to>
      <xdr:col>11</xdr:col>
      <xdr:colOff>217336</xdr:colOff>
      <xdr:row>27</xdr:row>
      <xdr:rowOff>116982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6862EC89-464A-4467-BFBA-07EA31D6119D}"/>
            </a:ext>
          </a:extLst>
        </xdr:cNvPr>
        <xdr:cNvGrpSpPr/>
      </xdr:nvGrpSpPr>
      <xdr:grpSpPr>
        <a:xfrm>
          <a:off x="2451014" y="4997248"/>
          <a:ext cx="1029670" cy="304647"/>
          <a:chOff x="954877" y="2135737"/>
          <a:chExt cx="1042837" cy="272997"/>
        </a:xfrm>
      </xdr:grpSpPr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7C85F11E-401B-8FD8-8107-B0CD1722E4C2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00">
                <a:solidFill>
                  <a:srgbClr val="0000FF"/>
                </a:solidFill>
              </a:rPr>
              <a:t>MR-J4-70GF </a:t>
            </a: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00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(2)</a:t>
            </a:r>
            <a:endParaRPr lang="en-US" sz="600">
              <a:solidFill>
                <a:srgbClr val="0000FF"/>
              </a:solidFill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800">
              <a:effectLst/>
            </a:endParaRPr>
          </a:p>
          <a:p>
            <a:pPr algn="ctr"/>
            <a:endParaRPr lang="en-US" sz="800">
              <a:solidFill>
                <a:srgbClr val="0000FF"/>
              </a:solidFill>
            </a:endParaRP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67FEB13C-235E-5F01-1A2D-2051542E17D4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12</a:t>
            </a:r>
          </a:p>
        </xdr:txBody>
      </xdr:sp>
    </xdr:grpSp>
    <xdr:clientData/>
  </xdr:twoCellAnchor>
  <xdr:twoCellAnchor>
    <xdr:from>
      <xdr:col>8</xdr:col>
      <xdr:colOff>129686</xdr:colOff>
      <xdr:row>28</xdr:row>
      <xdr:rowOff>12503</xdr:rowOff>
    </xdr:from>
    <xdr:to>
      <xdr:col>11</xdr:col>
      <xdr:colOff>215138</xdr:colOff>
      <xdr:row>29</xdr:row>
      <xdr:rowOff>97199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B4D294A8-A806-4AB5-BFA5-428F3656B0F8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48816" y="5404481"/>
          <a:ext cx="1029670" cy="291761"/>
          <a:chOff x="954877" y="2135737"/>
          <a:chExt cx="1042837" cy="272997"/>
        </a:xfrm>
      </xdr:grpSpPr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475E8443-3B9D-4D1C-EBB2-94BAB8F28FE5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RCON (2)</a:t>
            </a: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8EABDBFD-3C03-F9A7-3B86-642C6B8C0209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13</a:t>
            </a:r>
          </a:p>
        </xdr:txBody>
      </xdr:sp>
    </xdr:grpSp>
    <xdr:clientData/>
  </xdr:twoCellAnchor>
  <xdr:twoCellAnchor>
    <xdr:from>
      <xdr:col>3</xdr:col>
      <xdr:colOff>205154</xdr:colOff>
      <xdr:row>24</xdr:row>
      <xdr:rowOff>122408</xdr:rowOff>
    </xdr:from>
    <xdr:to>
      <xdr:col>6</xdr:col>
      <xdr:colOff>261621</xdr:colOff>
      <xdr:row>26</xdr:row>
      <xdr:rowOff>46174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1A3607F6-CCBF-4758-A8A4-807682ECC7F8}"/>
            </a:ext>
          </a:extLst>
        </xdr:cNvPr>
        <xdr:cNvGrpSpPr/>
      </xdr:nvGrpSpPr>
      <xdr:grpSpPr>
        <a:xfrm>
          <a:off x="950589" y="4686125"/>
          <a:ext cx="1000684" cy="337897"/>
          <a:chOff x="2013862" y="4128460"/>
          <a:chExt cx="1013852" cy="275890"/>
        </a:xfrm>
      </xdr:grpSpPr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37CD5368-C7E7-B741-1977-E0BF5193DFF4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97" name="Rectangle 96">
              <a:extLst>
                <a:ext uri="{FF2B5EF4-FFF2-40B4-BE49-F238E27FC236}">
                  <a16:creationId xmlns:a16="http://schemas.microsoft.com/office/drawing/2014/main" id="{37F0BFD6-7236-599A-BDE0-22219755C1A7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8" name="Rectangle 97">
              <a:extLst>
                <a:ext uri="{FF2B5EF4-FFF2-40B4-BE49-F238E27FC236}">
                  <a16:creationId xmlns:a16="http://schemas.microsoft.com/office/drawing/2014/main" id="{367F760F-DB2E-215E-8D03-00D1EE76151F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9" name="Rectangle 98">
              <a:extLst>
                <a:ext uri="{FF2B5EF4-FFF2-40B4-BE49-F238E27FC236}">
                  <a16:creationId xmlns:a16="http://schemas.microsoft.com/office/drawing/2014/main" id="{0AAF2D07-79B4-2AEC-DD9F-FAC720803734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0" name="Rectangle 99">
              <a:extLst>
                <a:ext uri="{FF2B5EF4-FFF2-40B4-BE49-F238E27FC236}">
                  <a16:creationId xmlns:a16="http://schemas.microsoft.com/office/drawing/2014/main" id="{8468A98E-10B8-EC13-7C8A-5838D1B854D3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Rectangle 100">
              <a:extLst>
                <a:ext uri="{FF2B5EF4-FFF2-40B4-BE49-F238E27FC236}">
                  <a16:creationId xmlns:a16="http://schemas.microsoft.com/office/drawing/2014/main" id="{153683A7-B01F-DE2A-1039-99620BDBC3DD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2" name="Rectangle 101">
              <a:extLst>
                <a:ext uri="{FF2B5EF4-FFF2-40B4-BE49-F238E27FC236}">
                  <a16:creationId xmlns:a16="http://schemas.microsoft.com/office/drawing/2014/main" id="{A808362B-6B72-86B4-ED04-C0C2493B8372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A979C061-7E32-6493-D748-BA91E605604A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4" name="Rectangle 103">
              <a:extLst>
                <a:ext uri="{FF2B5EF4-FFF2-40B4-BE49-F238E27FC236}">
                  <a16:creationId xmlns:a16="http://schemas.microsoft.com/office/drawing/2014/main" id="{29B9817D-38F5-19E1-22D7-CE298CA6CE60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5CDB367E-D40F-85CE-3552-18D4DD4A541B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14</a:t>
            </a:r>
          </a:p>
        </xdr:txBody>
      </xdr:sp>
    </xdr:grpSp>
    <xdr:clientData/>
  </xdr:twoCellAnchor>
  <xdr:twoCellAnchor>
    <xdr:from>
      <xdr:col>13</xdr:col>
      <xdr:colOff>95250</xdr:colOff>
      <xdr:row>24</xdr:row>
      <xdr:rowOff>56036</xdr:rowOff>
    </xdr:from>
    <xdr:to>
      <xdr:col>16</xdr:col>
      <xdr:colOff>151717</xdr:colOff>
      <xdr:row>25</xdr:row>
      <xdr:rowOff>193145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A528E310-BF11-41B5-9E73-77F558237824}"/>
            </a:ext>
          </a:extLst>
        </xdr:cNvPr>
        <xdr:cNvGrpSpPr/>
      </xdr:nvGrpSpPr>
      <xdr:grpSpPr>
        <a:xfrm>
          <a:off x="3988076" y="4619753"/>
          <a:ext cx="1000684" cy="344175"/>
          <a:chOff x="2013862" y="4128460"/>
          <a:chExt cx="1013852" cy="275890"/>
        </a:xfrm>
      </xdr:grpSpPr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B9E450E5-C9B7-1797-EA5D-8E17A1552F26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A6280A05-6C26-36FD-AE75-2EDDE7C95983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9" name="Rectangle 108">
              <a:extLst>
                <a:ext uri="{FF2B5EF4-FFF2-40B4-BE49-F238E27FC236}">
                  <a16:creationId xmlns:a16="http://schemas.microsoft.com/office/drawing/2014/main" id="{47202D3D-12BA-D5E9-7638-EAB0518CD1E9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0" name="Rectangle 109">
              <a:extLst>
                <a:ext uri="{FF2B5EF4-FFF2-40B4-BE49-F238E27FC236}">
                  <a16:creationId xmlns:a16="http://schemas.microsoft.com/office/drawing/2014/main" id="{2C671EB0-0B82-1F86-08F4-42C379231AB3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1" name="Rectangle 110">
              <a:extLst>
                <a:ext uri="{FF2B5EF4-FFF2-40B4-BE49-F238E27FC236}">
                  <a16:creationId xmlns:a16="http://schemas.microsoft.com/office/drawing/2014/main" id="{234D5A9C-4CB6-2422-7608-71B516868E3C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2" name="Rectangle 111">
              <a:extLst>
                <a:ext uri="{FF2B5EF4-FFF2-40B4-BE49-F238E27FC236}">
                  <a16:creationId xmlns:a16="http://schemas.microsoft.com/office/drawing/2014/main" id="{A542D1F7-AF94-BF55-CF47-E696144633B0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Rectangle 112">
              <a:extLst>
                <a:ext uri="{FF2B5EF4-FFF2-40B4-BE49-F238E27FC236}">
                  <a16:creationId xmlns:a16="http://schemas.microsoft.com/office/drawing/2014/main" id="{B7E61F13-860A-83A2-D5A8-26549F903A66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4" name="Rectangle 113">
              <a:extLst>
                <a:ext uri="{FF2B5EF4-FFF2-40B4-BE49-F238E27FC236}">
                  <a16:creationId xmlns:a16="http://schemas.microsoft.com/office/drawing/2014/main" id="{B179E65A-2F75-7EC4-9391-75D4EDC891F8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5" name="Rectangle 114">
              <a:extLst>
                <a:ext uri="{FF2B5EF4-FFF2-40B4-BE49-F238E27FC236}">
                  <a16:creationId xmlns:a16="http://schemas.microsoft.com/office/drawing/2014/main" id="{B3E0468F-E832-BE59-E498-76B88C0F1830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7CCF8641-9934-7E61-0B2C-6F0EEB5C8146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15</a:t>
            </a:r>
          </a:p>
        </xdr:txBody>
      </xdr:sp>
    </xdr:grpSp>
    <xdr:clientData/>
  </xdr:twoCellAnchor>
  <xdr:twoCellAnchor>
    <xdr:from>
      <xdr:col>11</xdr:col>
      <xdr:colOff>217337</xdr:colOff>
      <xdr:row>24</xdr:row>
      <xdr:rowOff>56036</xdr:rowOff>
    </xdr:from>
    <xdr:to>
      <xdr:col>14</xdr:col>
      <xdr:colOff>127859</xdr:colOff>
      <xdr:row>24</xdr:row>
      <xdr:rowOff>187831</xdr:rowOff>
    </xdr:to>
    <xdr:cxnSp macro="">
      <xdr:nvCxnSpPr>
        <xdr:cNvPr id="116" name="Elbow Connector 16">
          <a:extLst>
            <a:ext uri="{FF2B5EF4-FFF2-40B4-BE49-F238E27FC236}">
              <a16:creationId xmlns:a16="http://schemas.microsoft.com/office/drawing/2014/main" id="{A6BF1921-1AFB-4ED5-ABA5-C00237E9BCF9}"/>
            </a:ext>
          </a:extLst>
        </xdr:cNvPr>
        <xdr:cNvCxnSpPr>
          <a:stCxn id="86" idx="3"/>
          <a:endCxn id="108" idx="0"/>
        </xdr:cNvCxnSpPr>
      </xdr:nvCxnSpPr>
      <xdr:spPr>
        <a:xfrm flipV="1">
          <a:off x="3674912" y="4628036"/>
          <a:ext cx="853497" cy="131795"/>
        </a:xfrm>
        <a:prstGeom prst="bentConnector4">
          <a:avLst>
            <a:gd name="adj1" fmla="val 47443"/>
            <a:gd name="adj2" fmla="val 196603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188029</xdr:colOff>
      <xdr:row>22</xdr:row>
      <xdr:rowOff>209812</xdr:rowOff>
    </xdr:from>
    <xdr:to>
      <xdr:col>14</xdr:col>
      <xdr:colOff>215793</xdr:colOff>
      <xdr:row>24</xdr:row>
      <xdr:rowOff>56036</xdr:rowOff>
    </xdr:to>
    <xdr:cxnSp macro="">
      <xdr:nvCxnSpPr>
        <xdr:cNvPr id="117" name="Elbow Connector 65">
          <a:extLst>
            <a:ext uri="{FF2B5EF4-FFF2-40B4-BE49-F238E27FC236}">
              <a16:creationId xmlns:a16="http://schemas.microsoft.com/office/drawing/2014/main" id="{96C18BE5-5B03-4A86-A9CC-75F17509D62E}"/>
            </a:ext>
          </a:extLst>
        </xdr:cNvPr>
        <xdr:cNvCxnSpPr>
          <a:stCxn id="83" idx="3"/>
          <a:endCxn id="109" idx="0"/>
        </xdr:cNvCxnSpPr>
      </xdr:nvCxnSpPr>
      <xdr:spPr>
        <a:xfrm>
          <a:off x="3645604" y="4381762"/>
          <a:ext cx="970739" cy="246274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206690</xdr:colOff>
      <xdr:row>11</xdr:row>
      <xdr:rowOff>53532</xdr:rowOff>
    </xdr:from>
    <xdr:to>
      <xdr:col>13</xdr:col>
      <xdr:colOff>292620</xdr:colOff>
      <xdr:row>18</xdr:row>
      <xdr:rowOff>134424</xdr:rowOff>
    </xdr:to>
    <xdr:cxnSp macro="">
      <xdr:nvCxnSpPr>
        <xdr:cNvPr id="118" name="Elbow Connector 71">
          <a:extLst>
            <a:ext uri="{FF2B5EF4-FFF2-40B4-BE49-F238E27FC236}">
              <a16:creationId xmlns:a16="http://schemas.microsoft.com/office/drawing/2014/main" id="{1B3034F9-CDB8-4C44-9214-F46D9C68B857}"/>
            </a:ext>
          </a:extLst>
        </xdr:cNvPr>
        <xdr:cNvCxnSpPr>
          <a:stCxn id="67" idx="3"/>
          <a:endCxn id="51" idx="2"/>
        </xdr:cNvCxnSpPr>
      </xdr:nvCxnSpPr>
      <xdr:spPr>
        <a:xfrm flipV="1">
          <a:off x="3664265" y="2149032"/>
          <a:ext cx="714580" cy="1414392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217336</xdr:colOff>
      <xdr:row>25</xdr:row>
      <xdr:rowOff>192830</xdr:rowOff>
    </xdr:from>
    <xdr:to>
      <xdr:col>14</xdr:col>
      <xdr:colOff>303727</xdr:colOff>
      <xdr:row>26</xdr:row>
      <xdr:rowOff>173177</xdr:rowOff>
    </xdr:to>
    <xdr:cxnSp macro="">
      <xdr:nvCxnSpPr>
        <xdr:cNvPr id="119" name="Elbow Connector 135">
          <a:extLst>
            <a:ext uri="{FF2B5EF4-FFF2-40B4-BE49-F238E27FC236}">
              <a16:creationId xmlns:a16="http://schemas.microsoft.com/office/drawing/2014/main" id="{E032B48C-EB5D-4350-9F4A-F00A3F5F839A}"/>
            </a:ext>
          </a:extLst>
        </xdr:cNvPr>
        <xdr:cNvCxnSpPr>
          <a:stCxn id="89" idx="3"/>
          <a:endCxn id="110" idx="2"/>
        </xdr:cNvCxnSpPr>
      </xdr:nvCxnSpPr>
      <xdr:spPr>
        <a:xfrm flipV="1">
          <a:off x="3674911" y="4955330"/>
          <a:ext cx="1029366" cy="170847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215138</xdr:colOff>
      <xdr:row>26</xdr:row>
      <xdr:rowOff>2432</xdr:rowOff>
    </xdr:from>
    <xdr:to>
      <xdr:col>15</xdr:col>
      <xdr:colOff>76260</xdr:colOff>
      <xdr:row>28</xdr:row>
      <xdr:rowOff>139364</xdr:rowOff>
    </xdr:to>
    <xdr:cxnSp macro="">
      <xdr:nvCxnSpPr>
        <xdr:cNvPr id="120" name="Elbow Connector 137">
          <a:extLst>
            <a:ext uri="{FF2B5EF4-FFF2-40B4-BE49-F238E27FC236}">
              <a16:creationId xmlns:a16="http://schemas.microsoft.com/office/drawing/2014/main" id="{3A534E21-386D-48AC-A278-4720ACFCBB12}"/>
            </a:ext>
            <a:ext uri="{147F2762-F138-4A5C-976F-8EAC2B608ADB}">
              <a16:predDERef xmlns:a16="http://schemas.microsoft.com/office/drawing/2014/main" pred="{00000000-0008-0000-0900-000088000000}"/>
            </a:ext>
          </a:extLst>
        </xdr:cNvPr>
        <xdr:cNvCxnSpPr>
          <a:stCxn id="92" idx="3"/>
          <a:endCxn id="111" idx="2"/>
          <a:extLst>
            <a:ext uri="{5F17804C-33F3-41E3-A699-7DCFA2EF7971}">
              <a16:cxnDERefs xmlns:a16="http://schemas.microsoft.com/office/drawing/2014/main" st="{00000000-0008-0000-0900-000070000000}" end="{00000000-0008-0000-0900-000083000000}"/>
            </a:ext>
          </a:extLst>
        </xdr:cNvCxnSpPr>
      </xdr:nvCxnSpPr>
      <xdr:spPr>
        <a:xfrm flipV="1">
          <a:off x="3672713" y="4955432"/>
          <a:ext cx="1118422" cy="517932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217930</xdr:colOff>
      <xdr:row>22</xdr:row>
      <xdr:rowOff>212752</xdr:rowOff>
    </xdr:from>
    <xdr:to>
      <xdr:col>8</xdr:col>
      <xdr:colOff>131884</xdr:colOff>
      <xdr:row>24</xdr:row>
      <xdr:rowOff>122523</xdr:rowOff>
    </xdr:to>
    <xdr:cxnSp macro="">
      <xdr:nvCxnSpPr>
        <xdr:cNvPr id="121" name="Elbow Connector 143">
          <a:extLst>
            <a:ext uri="{FF2B5EF4-FFF2-40B4-BE49-F238E27FC236}">
              <a16:creationId xmlns:a16="http://schemas.microsoft.com/office/drawing/2014/main" id="{39ACD1CC-F56B-4469-B7EA-F064712E31AB}"/>
            </a:ext>
          </a:extLst>
        </xdr:cNvPr>
        <xdr:cNvCxnSpPr>
          <a:stCxn id="84" idx="1"/>
          <a:endCxn id="104" idx="0"/>
        </xdr:cNvCxnSpPr>
      </xdr:nvCxnSpPr>
      <xdr:spPr>
        <a:xfrm rot="10800000" flipV="1">
          <a:off x="2103880" y="4384702"/>
          <a:ext cx="542604" cy="309821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131452</xdr:colOff>
      <xdr:row>26</xdr:row>
      <xdr:rowOff>46021</xdr:rowOff>
    </xdr:from>
    <xdr:to>
      <xdr:col>8</xdr:col>
      <xdr:colOff>129687</xdr:colOff>
      <xdr:row>28</xdr:row>
      <xdr:rowOff>141789</xdr:rowOff>
    </xdr:to>
    <xdr:cxnSp macro="">
      <xdr:nvCxnSpPr>
        <xdr:cNvPr id="122" name="Elbow Connector 145">
          <a:extLst>
            <a:ext uri="{FF2B5EF4-FFF2-40B4-BE49-F238E27FC236}">
              <a16:creationId xmlns:a16="http://schemas.microsoft.com/office/drawing/2014/main" id="{6CAF1E40-B3E6-4900-80D4-43761B19C088}"/>
            </a:ext>
            <a:ext uri="{147F2762-F138-4A5C-976F-8EAC2B608ADB}">
              <a16:predDERef xmlns:a16="http://schemas.microsoft.com/office/drawing/2014/main" pred="{00000000-0008-0000-0900-000090000000}"/>
            </a:ext>
          </a:extLst>
        </xdr:cNvPr>
        <xdr:cNvCxnSpPr>
          <a:stCxn id="93" idx="1"/>
          <a:endCxn id="103" idx="2"/>
          <a:extLst>
            <a:ext uri="{5F17804C-33F3-41E3-A699-7DCFA2EF7971}">
              <a16:cxnDERefs xmlns:a16="http://schemas.microsoft.com/office/drawing/2014/main" st="{00000000-0008-0000-0900-000071000000}" end="{00000000-0008-0000-0900-00007B000000}"/>
            </a:ext>
          </a:extLst>
        </xdr:cNvCxnSpPr>
      </xdr:nvCxnSpPr>
      <xdr:spPr>
        <a:xfrm rot="10800000">
          <a:off x="2017402" y="4999021"/>
          <a:ext cx="626885" cy="476768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93785</xdr:colOff>
      <xdr:row>12</xdr:row>
      <xdr:rowOff>2930</xdr:rowOff>
    </xdr:from>
    <xdr:to>
      <xdr:col>15</xdr:col>
      <xdr:colOff>222739</xdr:colOff>
      <xdr:row>12</xdr:row>
      <xdr:rowOff>136961</xdr:rowOff>
    </xdr:to>
    <xdr:sp macro="" textlink="">
      <xdr:nvSpPr>
        <xdr:cNvPr id="123" name="Arc 122">
          <a:extLst>
            <a:ext uri="{FF2B5EF4-FFF2-40B4-BE49-F238E27FC236}">
              <a16:creationId xmlns:a16="http://schemas.microsoft.com/office/drawing/2014/main" id="{7BF589AE-404C-4A0A-A4F8-BF4DC6A8F067}"/>
            </a:ext>
          </a:extLst>
        </xdr:cNvPr>
        <xdr:cNvSpPr/>
      </xdr:nvSpPr>
      <xdr:spPr>
        <a:xfrm flipV="1">
          <a:off x="4808660" y="2288930"/>
          <a:ext cx="128954" cy="134031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156907</xdr:colOff>
      <xdr:row>7</xdr:row>
      <xdr:rowOff>170737</xdr:rowOff>
    </xdr:from>
    <xdr:to>
      <xdr:col>15</xdr:col>
      <xdr:colOff>161656</xdr:colOff>
      <xdr:row>12</xdr:row>
      <xdr:rowOff>2945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AD6DC3C8-4CFB-4326-8C28-F55BE87EB296}"/>
            </a:ext>
          </a:extLst>
        </xdr:cNvPr>
        <xdr:cNvCxnSpPr>
          <a:stCxn id="123" idx="2"/>
          <a:endCxn id="23" idx="2"/>
        </xdr:cNvCxnSpPr>
      </xdr:nvCxnSpPr>
      <xdr:spPr>
        <a:xfrm flipV="1">
          <a:off x="4871782" y="1504237"/>
          <a:ext cx="4749" cy="7847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158262</xdr:colOff>
      <xdr:row>12</xdr:row>
      <xdr:rowOff>136961</xdr:rowOff>
    </xdr:from>
    <xdr:to>
      <xdr:col>15</xdr:col>
      <xdr:colOff>164507</xdr:colOff>
      <xdr:row>24</xdr:row>
      <xdr:rowOff>56094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4D4B2584-2262-4C78-B88E-B8A9ED22A0E7}"/>
            </a:ext>
          </a:extLst>
        </xdr:cNvPr>
        <xdr:cNvCxnSpPr>
          <a:stCxn id="123" idx="0"/>
          <a:endCxn id="112" idx="0"/>
        </xdr:cNvCxnSpPr>
      </xdr:nvCxnSpPr>
      <xdr:spPr>
        <a:xfrm>
          <a:off x="4873137" y="2422961"/>
          <a:ext cx="6245" cy="22051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167528</xdr:colOff>
      <xdr:row>7</xdr:row>
      <xdr:rowOff>170736</xdr:rowOff>
    </xdr:from>
    <xdr:to>
      <xdr:col>6</xdr:col>
      <xdr:colOff>46775</xdr:colOff>
      <xdr:row>24</xdr:row>
      <xdr:rowOff>122467</xdr:rowOff>
    </xdr:to>
    <xdr:cxnSp macro="">
      <xdr:nvCxnSpPr>
        <xdr:cNvPr id="126" name="Elbow Connector 157">
          <a:extLst>
            <a:ext uri="{FF2B5EF4-FFF2-40B4-BE49-F238E27FC236}">
              <a16:creationId xmlns:a16="http://schemas.microsoft.com/office/drawing/2014/main" id="{96FDB955-4A59-4925-BACD-1BF051C293F8}"/>
            </a:ext>
          </a:extLst>
        </xdr:cNvPr>
        <xdr:cNvCxnSpPr>
          <a:stCxn id="102" idx="0"/>
          <a:endCxn id="9" idx="2"/>
        </xdr:cNvCxnSpPr>
      </xdr:nvCxnSpPr>
      <xdr:spPr>
        <a:xfrm rot="16200000" flipV="1">
          <a:off x="-230664" y="2531078"/>
          <a:ext cx="3190231" cy="1136547"/>
        </a:xfrm>
        <a:prstGeom prst="bentConnector3">
          <a:avLst>
            <a:gd name="adj1" fmla="val 66012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127734</xdr:colOff>
      <xdr:row>11</xdr:row>
      <xdr:rowOff>98670</xdr:rowOff>
    </xdr:from>
    <xdr:ext cx="291939" cy="233205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64FA30B6-BE86-4902-AEB0-F14CF15C740C}"/>
            </a:ext>
          </a:extLst>
        </xdr:cNvPr>
        <xdr:cNvSpPr txBox="1"/>
      </xdr:nvSpPr>
      <xdr:spPr>
        <a:xfrm>
          <a:off x="2328009" y="2194170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L6</a:t>
          </a:r>
        </a:p>
      </xdr:txBody>
    </xdr:sp>
    <xdr:clientData/>
  </xdr:oneCellAnchor>
  <xdr:oneCellAnchor>
    <xdr:from>
      <xdr:col>7</xdr:col>
      <xdr:colOff>118209</xdr:colOff>
      <xdr:row>17</xdr:row>
      <xdr:rowOff>22470</xdr:rowOff>
    </xdr:from>
    <xdr:ext cx="291939" cy="233205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C7FCCA1-FE85-42A4-9524-36301644FB80}"/>
            </a:ext>
          </a:extLst>
        </xdr:cNvPr>
        <xdr:cNvSpPr txBox="1"/>
      </xdr:nvSpPr>
      <xdr:spPr>
        <a:xfrm>
          <a:off x="2318484" y="3260970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L7</a:t>
          </a:r>
        </a:p>
      </xdr:txBody>
    </xdr:sp>
    <xdr:clientData/>
  </xdr:oneCellAnchor>
  <xdr:oneCellAnchor>
    <xdr:from>
      <xdr:col>11</xdr:col>
      <xdr:colOff>299184</xdr:colOff>
      <xdr:row>11</xdr:row>
      <xdr:rowOff>89145</xdr:rowOff>
    </xdr:from>
    <xdr:ext cx="291939" cy="233205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60CCEF5-BFDF-4BF3-B85F-12B563032DF1}"/>
            </a:ext>
          </a:extLst>
        </xdr:cNvPr>
        <xdr:cNvSpPr txBox="1"/>
      </xdr:nvSpPr>
      <xdr:spPr>
        <a:xfrm>
          <a:off x="3756759" y="2184645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L8</a:t>
          </a:r>
        </a:p>
      </xdr:txBody>
    </xdr:sp>
    <xdr:clientData/>
  </xdr:oneCellAnchor>
  <xdr:oneCellAnchor>
    <xdr:from>
      <xdr:col>12</xdr:col>
      <xdr:colOff>3909</xdr:colOff>
      <xdr:row>13</xdr:row>
      <xdr:rowOff>51045</xdr:rowOff>
    </xdr:from>
    <xdr:ext cx="291939" cy="233205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049EC1C-22BC-42E7-B827-1AE7E9E47F42}"/>
            </a:ext>
          </a:extLst>
        </xdr:cNvPr>
        <xdr:cNvSpPr txBox="1"/>
      </xdr:nvSpPr>
      <xdr:spPr>
        <a:xfrm>
          <a:off x="3775809" y="2527545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L9</a:t>
          </a:r>
        </a:p>
      </xdr:txBody>
    </xdr:sp>
    <xdr:clientData/>
  </xdr:oneCellAnchor>
  <xdr:oneCellAnchor>
    <xdr:from>
      <xdr:col>12</xdr:col>
      <xdr:colOff>13434</xdr:colOff>
      <xdr:row>15</xdr:row>
      <xdr:rowOff>51045</xdr:rowOff>
    </xdr:from>
    <xdr:ext cx="350417" cy="233205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24F94FD-B662-4A5F-8732-5709A421B153}"/>
            </a:ext>
          </a:extLst>
        </xdr:cNvPr>
        <xdr:cNvSpPr txBox="1"/>
      </xdr:nvSpPr>
      <xdr:spPr>
        <a:xfrm>
          <a:off x="3785334" y="290854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L10</a:t>
          </a:r>
        </a:p>
      </xdr:txBody>
    </xdr:sp>
    <xdr:clientData/>
  </xdr:oneCellAnchor>
  <xdr:oneCellAnchor>
    <xdr:from>
      <xdr:col>11</xdr:col>
      <xdr:colOff>299745</xdr:colOff>
      <xdr:row>17</xdr:row>
      <xdr:rowOff>41520</xdr:rowOff>
    </xdr:from>
    <xdr:ext cx="350417" cy="233205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9353B251-0F58-45AE-A04A-FE3168C62BF9}"/>
            </a:ext>
          </a:extLst>
        </xdr:cNvPr>
        <xdr:cNvSpPr txBox="1"/>
      </xdr:nvSpPr>
      <xdr:spPr>
        <a:xfrm>
          <a:off x="3757320" y="328002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L11</a:t>
          </a:r>
        </a:p>
      </xdr:txBody>
    </xdr:sp>
    <xdr:clientData/>
  </xdr:oneCellAnchor>
  <xdr:oneCellAnchor>
    <xdr:from>
      <xdr:col>15</xdr:col>
      <xdr:colOff>217942</xdr:colOff>
      <xdr:row>19</xdr:row>
      <xdr:rowOff>136770</xdr:rowOff>
    </xdr:from>
    <xdr:ext cx="350417" cy="233205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F4A515A-6728-4180-9C4C-A8944EB34801}"/>
            </a:ext>
          </a:extLst>
        </xdr:cNvPr>
        <xdr:cNvSpPr txBox="1"/>
      </xdr:nvSpPr>
      <xdr:spPr>
        <a:xfrm>
          <a:off x="4932817" y="37562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L19</a:t>
          </a:r>
        </a:p>
      </xdr:txBody>
    </xdr:sp>
    <xdr:clientData/>
  </xdr:oneCellAnchor>
  <xdr:oneCellAnchor>
    <xdr:from>
      <xdr:col>11</xdr:col>
      <xdr:colOff>261084</xdr:colOff>
      <xdr:row>21</xdr:row>
      <xdr:rowOff>127245</xdr:rowOff>
    </xdr:from>
    <xdr:ext cx="350417" cy="233205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5C8332BA-AC09-458C-8701-3CD1448A8939}"/>
            </a:ext>
          </a:extLst>
        </xdr:cNvPr>
        <xdr:cNvSpPr txBox="1"/>
      </xdr:nvSpPr>
      <xdr:spPr>
        <a:xfrm>
          <a:off x="3718659" y="412774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L15</a:t>
          </a:r>
        </a:p>
      </xdr:txBody>
    </xdr:sp>
    <xdr:clientData/>
  </xdr:oneCellAnchor>
  <xdr:oneCellAnchor>
    <xdr:from>
      <xdr:col>11</xdr:col>
      <xdr:colOff>261084</xdr:colOff>
      <xdr:row>23</xdr:row>
      <xdr:rowOff>98670</xdr:rowOff>
    </xdr:from>
    <xdr:ext cx="350417" cy="233205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AD30FEC-5BE5-4030-AFFF-151CFC353708}"/>
            </a:ext>
          </a:extLst>
        </xdr:cNvPr>
        <xdr:cNvSpPr txBox="1"/>
      </xdr:nvSpPr>
      <xdr:spPr>
        <a:xfrm>
          <a:off x="3718659" y="44801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L16</a:t>
          </a:r>
        </a:p>
      </xdr:txBody>
    </xdr:sp>
    <xdr:clientData/>
  </xdr:oneCellAnchor>
  <xdr:oneCellAnchor>
    <xdr:from>
      <xdr:col>11</xdr:col>
      <xdr:colOff>261084</xdr:colOff>
      <xdr:row>25</xdr:row>
      <xdr:rowOff>98670</xdr:rowOff>
    </xdr:from>
    <xdr:ext cx="350417" cy="233205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F8BBDA58-48B3-412F-A779-B50FB09027EB}"/>
            </a:ext>
          </a:extLst>
        </xdr:cNvPr>
        <xdr:cNvSpPr txBox="1"/>
      </xdr:nvSpPr>
      <xdr:spPr>
        <a:xfrm>
          <a:off x="3718659" y="48611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L17</a:t>
          </a:r>
        </a:p>
      </xdr:txBody>
    </xdr:sp>
    <xdr:clientData/>
  </xdr:oneCellAnchor>
  <xdr:oneCellAnchor>
    <xdr:from>
      <xdr:col>11</xdr:col>
      <xdr:colOff>270609</xdr:colOff>
      <xdr:row>27</xdr:row>
      <xdr:rowOff>60570</xdr:rowOff>
    </xdr:from>
    <xdr:ext cx="350417" cy="233205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C10226F-661B-48AC-BA46-9E78269FBD9C}"/>
            </a:ext>
          </a:extLst>
        </xdr:cNvPr>
        <xdr:cNvSpPr txBox="1"/>
      </xdr:nvSpPr>
      <xdr:spPr>
        <a:xfrm>
          <a:off x="3728184" y="52040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L18</a:t>
          </a:r>
        </a:p>
      </xdr:txBody>
    </xdr:sp>
    <xdr:clientData/>
  </xdr:oneCellAnchor>
  <xdr:oneCellAnchor>
    <xdr:from>
      <xdr:col>7</xdr:col>
      <xdr:colOff>61059</xdr:colOff>
      <xdr:row>27</xdr:row>
      <xdr:rowOff>60570</xdr:rowOff>
    </xdr:from>
    <xdr:ext cx="350417" cy="233205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C1E96551-8CCB-40B5-96D7-5763E0CF7250}"/>
            </a:ext>
          </a:extLst>
        </xdr:cNvPr>
        <xdr:cNvSpPr txBox="1"/>
      </xdr:nvSpPr>
      <xdr:spPr>
        <a:xfrm>
          <a:off x="2261334" y="52040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L13</a:t>
          </a:r>
        </a:p>
      </xdr:txBody>
    </xdr:sp>
    <xdr:clientData/>
  </xdr:oneCellAnchor>
  <xdr:oneCellAnchor>
    <xdr:from>
      <xdr:col>7</xdr:col>
      <xdr:colOff>70584</xdr:colOff>
      <xdr:row>21</xdr:row>
      <xdr:rowOff>108195</xdr:rowOff>
    </xdr:from>
    <xdr:ext cx="350417" cy="233205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553161D6-4A85-44AD-948D-2273478B47F3}"/>
            </a:ext>
          </a:extLst>
        </xdr:cNvPr>
        <xdr:cNvSpPr txBox="1"/>
      </xdr:nvSpPr>
      <xdr:spPr>
        <a:xfrm>
          <a:off x="2270859" y="410869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L12</a:t>
          </a:r>
        </a:p>
      </xdr:txBody>
    </xdr:sp>
    <xdr:clientData/>
  </xdr:oneCellAnchor>
  <xdr:oneCellAnchor>
    <xdr:from>
      <xdr:col>2</xdr:col>
      <xdr:colOff>134991</xdr:colOff>
      <xdr:row>12</xdr:row>
      <xdr:rowOff>56942</xdr:rowOff>
    </xdr:from>
    <xdr:ext cx="350417" cy="233205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D0272C7-A9D1-48EC-B74A-A781B049A978}"/>
            </a:ext>
          </a:extLst>
        </xdr:cNvPr>
        <xdr:cNvSpPr txBox="1"/>
      </xdr:nvSpPr>
      <xdr:spPr>
        <a:xfrm>
          <a:off x="763641" y="2342942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L14</a:t>
          </a:r>
        </a:p>
      </xdr:txBody>
    </xdr:sp>
    <xdr:clientData/>
  </xdr:oneCellAnchor>
  <xdr:twoCellAnchor>
    <xdr:from>
      <xdr:col>3</xdr:col>
      <xdr:colOff>210652</xdr:colOff>
      <xdr:row>34</xdr:row>
      <xdr:rowOff>158485</xdr:rowOff>
    </xdr:from>
    <xdr:to>
      <xdr:col>6</xdr:col>
      <xdr:colOff>267119</xdr:colOff>
      <xdr:row>36</xdr:row>
      <xdr:rowOff>94458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631D15CE-6188-469F-AE78-A86C8C56E1DB}"/>
            </a:ext>
          </a:extLst>
        </xdr:cNvPr>
        <xdr:cNvGrpSpPr/>
      </xdr:nvGrpSpPr>
      <xdr:grpSpPr>
        <a:xfrm>
          <a:off x="956087" y="6792855"/>
          <a:ext cx="1000684" cy="325255"/>
          <a:chOff x="2013862" y="4128460"/>
          <a:chExt cx="1013852" cy="275890"/>
        </a:xfrm>
      </xdr:grpSpPr>
      <xdr:grpSp>
        <xdr:nvGrpSpPr>
          <xdr:cNvPr id="142" name="Group 141">
            <a:extLst>
              <a:ext uri="{FF2B5EF4-FFF2-40B4-BE49-F238E27FC236}">
                <a16:creationId xmlns:a16="http://schemas.microsoft.com/office/drawing/2014/main" id="{1782FC3B-9183-585E-FC47-44D521AAFF93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144" name="Rectangle 143">
              <a:extLst>
                <a:ext uri="{FF2B5EF4-FFF2-40B4-BE49-F238E27FC236}">
                  <a16:creationId xmlns:a16="http://schemas.microsoft.com/office/drawing/2014/main" id="{61CDE230-D4C3-F214-23C0-D2B09CFD4161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5" name="Rectangle 144">
              <a:extLst>
                <a:ext uri="{FF2B5EF4-FFF2-40B4-BE49-F238E27FC236}">
                  <a16:creationId xmlns:a16="http://schemas.microsoft.com/office/drawing/2014/main" id="{23DFA4A9-BE2B-C87F-01AE-C07F40069C52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6" name="Rectangle 145">
              <a:extLst>
                <a:ext uri="{FF2B5EF4-FFF2-40B4-BE49-F238E27FC236}">
                  <a16:creationId xmlns:a16="http://schemas.microsoft.com/office/drawing/2014/main" id="{7F6CE02C-9D4A-59B5-B07B-5E5222DE640C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7" name="Rectangle 146">
              <a:extLst>
                <a:ext uri="{FF2B5EF4-FFF2-40B4-BE49-F238E27FC236}">
                  <a16:creationId xmlns:a16="http://schemas.microsoft.com/office/drawing/2014/main" id="{8DE25651-48CA-CA2B-4C15-381DC0E959BE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8" name="Rectangle 147">
              <a:extLst>
                <a:ext uri="{FF2B5EF4-FFF2-40B4-BE49-F238E27FC236}">
                  <a16:creationId xmlns:a16="http://schemas.microsoft.com/office/drawing/2014/main" id="{2090B03A-F894-8F73-0E11-24FC2DD6D16F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9" name="Rectangle 148">
              <a:extLst>
                <a:ext uri="{FF2B5EF4-FFF2-40B4-BE49-F238E27FC236}">
                  <a16:creationId xmlns:a16="http://schemas.microsoft.com/office/drawing/2014/main" id="{FF3EED99-4AD3-E61D-FBA4-C1E990F24AD6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0" name="Rectangle 149">
              <a:extLst>
                <a:ext uri="{FF2B5EF4-FFF2-40B4-BE49-F238E27FC236}">
                  <a16:creationId xmlns:a16="http://schemas.microsoft.com/office/drawing/2014/main" id="{CC935D19-7425-ACF5-2E86-59974EB775D9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1" name="Rectangle 150">
              <a:extLst>
                <a:ext uri="{FF2B5EF4-FFF2-40B4-BE49-F238E27FC236}">
                  <a16:creationId xmlns:a16="http://schemas.microsoft.com/office/drawing/2014/main" id="{B2209290-D263-B4A1-872B-6C0E0EBE4F73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71042D83-0EF1-71B6-1B00-243D6F517E69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22</a:t>
            </a:r>
          </a:p>
        </xdr:txBody>
      </xdr:sp>
    </xdr:grpSp>
    <xdr:clientData/>
  </xdr:twoCellAnchor>
  <xdr:twoCellAnchor>
    <xdr:from>
      <xdr:col>13</xdr:col>
      <xdr:colOff>151017</xdr:colOff>
      <xdr:row>34</xdr:row>
      <xdr:rowOff>131981</xdr:rowOff>
    </xdr:from>
    <xdr:to>
      <xdr:col>16</xdr:col>
      <xdr:colOff>207484</xdr:colOff>
      <xdr:row>36</xdr:row>
      <xdr:rowOff>67954</xdr:rowOff>
    </xdr:to>
    <xdr:grpSp>
      <xdr:nvGrpSpPr>
        <xdr:cNvPr id="152" name="Group 151">
          <a:extLst>
            <a:ext uri="{FF2B5EF4-FFF2-40B4-BE49-F238E27FC236}">
              <a16:creationId xmlns:a16="http://schemas.microsoft.com/office/drawing/2014/main" id="{929606FE-F5BD-49C5-B710-A5210281B007}"/>
            </a:ext>
          </a:extLst>
        </xdr:cNvPr>
        <xdr:cNvGrpSpPr/>
      </xdr:nvGrpSpPr>
      <xdr:grpSpPr>
        <a:xfrm>
          <a:off x="4043843" y="6766351"/>
          <a:ext cx="1000684" cy="325255"/>
          <a:chOff x="2013862" y="4128460"/>
          <a:chExt cx="1013852" cy="275890"/>
        </a:xfrm>
      </xdr:grpSpPr>
      <xdr:grpSp>
        <xdr:nvGrpSpPr>
          <xdr:cNvPr id="153" name="Group 152">
            <a:extLst>
              <a:ext uri="{FF2B5EF4-FFF2-40B4-BE49-F238E27FC236}">
                <a16:creationId xmlns:a16="http://schemas.microsoft.com/office/drawing/2014/main" id="{07D70826-DA1B-A6D3-13AD-DC39B24B5C97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155" name="Rectangle 154">
              <a:extLst>
                <a:ext uri="{FF2B5EF4-FFF2-40B4-BE49-F238E27FC236}">
                  <a16:creationId xmlns:a16="http://schemas.microsoft.com/office/drawing/2014/main" id="{7F372F96-C800-D8D4-50A8-A9E3F61E86DF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6" name="Rectangle 155">
              <a:extLst>
                <a:ext uri="{FF2B5EF4-FFF2-40B4-BE49-F238E27FC236}">
                  <a16:creationId xmlns:a16="http://schemas.microsoft.com/office/drawing/2014/main" id="{139C323B-5FBB-D5D0-AFF3-F38EA5EC96BE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7" name="Rectangle 156">
              <a:extLst>
                <a:ext uri="{FF2B5EF4-FFF2-40B4-BE49-F238E27FC236}">
                  <a16:creationId xmlns:a16="http://schemas.microsoft.com/office/drawing/2014/main" id="{1BB3C5B7-6EDA-3826-84A2-32AFAFEBA099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8" name="Rectangle 157">
              <a:extLst>
                <a:ext uri="{FF2B5EF4-FFF2-40B4-BE49-F238E27FC236}">
                  <a16:creationId xmlns:a16="http://schemas.microsoft.com/office/drawing/2014/main" id="{B97030BD-1233-C0CA-2452-6EA08195BC7A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9" name="Rectangle 158">
              <a:extLst>
                <a:ext uri="{FF2B5EF4-FFF2-40B4-BE49-F238E27FC236}">
                  <a16:creationId xmlns:a16="http://schemas.microsoft.com/office/drawing/2014/main" id="{C9942A47-382D-4B09-AA4D-46147D0D4287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0" name="Rectangle 159">
              <a:extLst>
                <a:ext uri="{FF2B5EF4-FFF2-40B4-BE49-F238E27FC236}">
                  <a16:creationId xmlns:a16="http://schemas.microsoft.com/office/drawing/2014/main" id="{1C1E6CAE-AFCD-9073-CB53-F7C85A39C7BE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1" name="Rectangle 160">
              <a:extLst>
                <a:ext uri="{FF2B5EF4-FFF2-40B4-BE49-F238E27FC236}">
                  <a16:creationId xmlns:a16="http://schemas.microsoft.com/office/drawing/2014/main" id="{DC547701-7F08-FA21-4618-07C6D29DF7BB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2" name="Rectangle 161">
              <a:extLst>
                <a:ext uri="{FF2B5EF4-FFF2-40B4-BE49-F238E27FC236}">
                  <a16:creationId xmlns:a16="http://schemas.microsoft.com/office/drawing/2014/main" id="{D09E234F-A438-3FDB-BE2B-8495AEA991F5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54" name="TextBox 153">
            <a:extLst>
              <a:ext uri="{FF2B5EF4-FFF2-40B4-BE49-F238E27FC236}">
                <a16:creationId xmlns:a16="http://schemas.microsoft.com/office/drawing/2014/main" id="{BCC0E43B-D631-2BB6-2F91-028C09FF75CD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21</a:t>
            </a:r>
          </a:p>
        </xdr:txBody>
      </xdr:sp>
    </xdr:grpSp>
    <xdr:clientData/>
  </xdr:twoCellAnchor>
  <xdr:twoCellAnchor>
    <xdr:from>
      <xdr:col>8</xdr:col>
      <xdr:colOff>142938</xdr:colOff>
      <xdr:row>33</xdr:row>
      <xdr:rowOff>32382</xdr:rowOff>
    </xdr:from>
    <xdr:to>
      <xdr:col>11</xdr:col>
      <xdr:colOff>228390</xdr:colOff>
      <xdr:row>34</xdr:row>
      <xdr:rowOff>117078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33A7511D-8348-4DB4-87D8-5A6F96586870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62068" y="6459686"/>
          <a:ext cx="1029670" cy="291762"/>
          <a:chOff x="954877" y="2135737"/>
          <a:chExt cx="1042837" cy="272997"/>
        </a:xfrm>
      </xdr:grpSpPr>
      <xdr:sp macro="" textlink="">
        <xdr:nvSpPr>
          <xdr:cNvPr id="164" name="Rectangle 163">
            <a:extLst>
              <a:ext uri="{FF2B5EF4-FFF2-40B4-BE49-F238E27FC236}">
                <a16:creationId xmlns:a16="http://schemas.microsoft.com/office/drawing/2014/main" id="{9BB52D1E-EDC4-0752-5952-85FEEBDDD45F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(3)</a:t>
            </a:r>
          </a:p>
        </xdr:txBody>
      </xdr: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2DC10BA6-991B-766B-A23B-969B0D42F970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23</a:t>
            </a:r>
          </a:p>
        </xdr:txBody>
      </xdr:sp>
    </xdr:grpSp>
    <xdr:clientData/>
  </xdr:twoCellAnchor>
  <xdr:twoCellAnchor>
    <xdr:from>
      <xdr:col>8</xdr:col>
      <xdr:colOff>136312</xdr:colOff>
      <xdr:row>35</xdr:row>
      <xdr:rowOff>52259</xdr:rowOff>
    </xdr:from>
    <xdr:to>
      <xdr:col>11</xdr:col>
      <xdr:colOff>221764</xdr:colOff>
      <xdr:row>36</xdr:row>
      <xdr:rowOff>123703</xdr:rowOff>
    </xdr:to>
    <xdr:grpSp>
      <xdr:nvGrpSpPr>
        <xdr:cNvPr id="166" name="Group 165">
          <a:extLst>
            <a:ext uri="{FF2B5EF4-FFF2-40B4-BE49-F238E27FC236}">
              <a16:creationId xmlns:a16="http://schemas.microsoft.com/office/drawing/2014/main" id="{54358C89-4738-4438-B7EC-6D9AEDFD34BC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55442" y="6893694"/>
          <a:ext cx="1029670" cy="253661"/>
          <a:chOff x="954877" y="2135737"/>
          <a:chExt cx="1042837" cy="272997"/>
        </a:xfrm>
      </xdr:grpSpPr>
      <xdr:sp macro="" textlink="">
        <xdr:nvSpPr>
          <xdr:cNvPr id="167" name="Rectangle 166">
            <a:extLst>
              <a:ext uri="{FF2B5EF4-FFF2-40B4-BE49-F238E27FC236}">
                <a16:creationId xmlns:a16="http://schemas.microsoft.com/office/drawing/2014/main" id="{23A442BF-4C14-72EA-05FC-3BAA383FACAE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(3)</a:t>
            </a:r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7B791623-ED14-655E-6CB7-9E6082553269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24</a:t>
            </a:r>
          </a:p>
        </xdr:txBody>
      </xdr:sp>
    </xdr:grpSp>
    <xdr:clientData/>
  </xdr:twoCellAnchor>
  <xdr:twoCellAnchor>
    <xdr:from>
      <xdr:col>8</xdr:col>
      <xdr:colOff>129686</xdr:colOff>
      <xdr:row>37</xdr:row>
      <xdr:rowOff>52260</xdr:rowOff>
    </xdr:from>
    <xdr:to>
      <xdr:col>11</xdr:col>
      <xdr:colOff>215138</xdr:colOff>
      <xdr:row>38</xdr:row>
      <xdr:rowOff>136955</xdr:rowOff>
    </xdr:to>
    <xdr:grpSp>
      <xdr:nvGrpSpPr>
        <xdr:cNvPr id="169" name="Group 168">
          <a:extLst>
            <a:ext uri="{FF2B5EF4-FFF2-40B4-BE49-F238E27FC236}">
              <a16:creationId xmlns:a16="http://schemas.microsoft.com/office/drawing/2014/main" id="{D1D5097B-D2FD-4484-8B0D-5BED1CA43738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48816" y="7282977"/>
          <a:ext cx="1029670" cy="291761"/>
          <a:chOff x="954877" y="2135737"/>
          <a:chExt cx="1042837" cy="272997"/>
        </a:xfrm>
      </xdr:grpSpPr>
      <xdr:sp macro="" textlink="">
        <xdr:nvSpPr>
          <xdr:cNvPr id="170" name="Rectangle 169">
            <a:extLst>
              <a:ext uri="{FF2B5EF4-FFF2-40B4-BE49-F238E27FC236}">
                <a16:creationId xmlns:a16="http://schemas.microsoft.com/office/drawing/2014/main" id="{8DDBDE7A-5A09-A584-8D6F-24AC20DEFFD0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RCON (3)</a:t>
            </a:r>
          </a:p>
        </xdr:txBody>
      </xdr:sp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61F7C503-3AA0-9A1F-3364-A4DD0AD74390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25</a:t>
            </a:r>
          </a:p>
        </xdr:txBody>
      </xdr:sp>
    </xdr:grpSp>
    <xdr:clientData/>
  </xdr:twoCellAnchor>
  <xdr:twoCellAnchor>
    <xdr:from>
      <xdr:col>6</xdr:col>
      <xdr:colOff>222865</xdr:colOff>
      <xdr:row>33</xdr:row>
      <xdr:rowOff>162086</xdr:rowOff>
    </xdr:from>
    <xdr:to>
      <xdr:col>8</xdr:col>
      <xdr:colOff>142939</xdr:colOff>
      <xdr:row>34</xdr:row>
      <xdr:rowOff>158582</xdr:rowOff>
    </xdr:to>
    <xdr:cxnSp macro="">
      <xdr:nvCxnSpPr>
        <xdr:cNvPr id="172" name="Connector: Elbow 171">
          <a:extLst>
            <a:ext uri="{FF2B5EF4-FFF2-40B4-BE49-F238E27FC236}">
              <a16:creationId xmlns:a16="http://schemas.microsoft.com/office/drawing/2014/main" id="{80AEB247-8298-4EB7-A1BB-E2DF78C52497}"/>
            </a:ext>
          </a:extLst>
        </xdr:cNvPr>
        <xdr:cNvCxnSpPr>
          <a:stCxn id="165" idx="1"/>
          <a:endCxn id="151" idx="0"/>
        </xdr:cNvCxnSpPr>
      </xdr:nvCxnSpPr>
      <xdr:spPr>
        <a:xfrm rot="10800000" flipV="1">
          <a:off x="2108815" y="6448586"/>
          <a:ext cx="548724" cy="186996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228390</xdr:colOff>
      <xdr:row>33</xdr:row>
      <xdr:rowOff>159653</xdr:rowOff>
    </xdr:from>
    <xdr:to>
      <xdr:col>14</xdr:col>
      <xdr:colOff>183804</xdr:colOff>
      <xdr:row>34</xdr:row>
      <xdr:rowOff>131981</xdr:rowOff>
    </xdr:to>
    <xdr:cxnSp macro="">
      <xdr:nvCxnSpPr>
        <xdr:cNvPr id="173" name="Connector: Elbow 172">
          <a:extLst>
            <a:ext uri="{FF2B5EF4-FFF2-40B4-BE49-F238E27FC236}">
              <a16:creationId xmlns:a16="http://schemas.microsoft.com/office/drawing/2014/main" id="{F18F342D-76D6-4CBB-A9B9-F3A4878555FA}"/>
            </a:ext>
          </a:extLst>
        </xdr:cNvPr>
        <xdr:cNvCxnSpPr>
          <a:stCxn id="164" idx="3"/>
          <a:endCxn id="155" idx="0"/>
        </xdr:cNvCxnSpPr>
      </xdr:nvCxnSpPr>
      <xdr:spPr>
        <a:xfrm>
          <a:off x="3685965" y="6446153"/>
          <a:ext cx="898389" cy="162828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221764</xdr:colOff>
      <xdr:row>35</xdr:row>
      <xdr:rowOff>179530</xdr:rowOff>
    </xdr:from>
    <xdr:to>
      <xdr:col>14</xdr:col>
      <xdr:colOff>272872</xdr:colOff>
      <xdr:row>36</xdr:row>
      <xdr:rowOff>67689</xdr:rowOff>
    </xdr:to>
    <xdr:cxnSp macro="">
      <xdr:nvCxnSpPr>
        <xdr:cNvPr id="174" name="Connector: Elbow 173">
          <a:extLst>
            <a:ext uri="{FF2B5EF4-FFF2-40B4-BE49-F238E27FC236}">
              <a16:creationId xmlns:a16="http://schemas.microsoft.com/office/drawing/2014/main" id="{3CAA8C2D-44C7-4E0A-9762-3D368662B27F}"/>
            </a:ext>
          </a:extLst>
        </xdr:cNvPr>
        <xdr:cNvCxnSpPr>
          <a:stCxn id="167" idx="3"/>
          <a:endCxn id="156" idx="2"/>
        </xdr:cNvCxnSpPr>
      </xdr:nvCxnSpPr>
      <xdr:spPr>
        <a:xfrm>
          <a:off x="3679339" y="6847030"/>
          <a:ext cx="994083" cy="78659"/>
        </a:xfrm>
        <a:prstGeom prst="bentConnector4">
          <a:avLst>
            <a:gd name="adj1" fmla="val 45170"/>
            <a:gd name="adj2" fmla="val 320304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215138</xdr:colOff>
      <xdr:row>36</xdr:row>
      <xdr:rowOff>67689</xdr:rowOff>
    </xdr:from>
    <xdr:to>
      <xdr:col>15</xdr:col>
      <xdr:colOff>43887</xdr:colOff>
      <xdr:row>38</xdr:row>
      <xdr:rowOff>7252</xdr:rowOff>
    </xdr:to>
    <xdr:cxnSp macro="">
      <xdr:nvCxnSpPr>
        <xdr:cNvPr id="175" name="Connector: Elbow 174">
          <a:extLst>
            <a:ext uri="{FF2B5EF4-FFF2-40B4-BE49-F238E27FC236}">
              <a16:creationId xmlns:a16="http://schemas.microsoft.com/office/drawing/2014/main" id="{3EDEAF82-80FE-436A-9BA4-E72EFE3BECE0}"/>
            </a:ext>
          </a:extLst>
        </xdr:cNvPr>
        <xdr:cNvCxnSpPr>
          <a:stCxn id="170" idx="3"/>
          <a:endCxn id="157" idx="2"/>
        </xdr:cNvCxnSpPr>
      </xdr:nvCxnSpPr>
      <xdr:spPr>
        <a:xfrm flipV="1">
          <a:off x="3672713" y="6925689"/>
          <a:ext cx="1086049" cy="320563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135493</xdr:colOff>
      <xdr:row>36</xdr:row>
      <xdr:rowOff>94290</xdr:rowOff>
    </xdr:from>
    <xdr:to>
      <xdr:col>8</xdr:col>
      <xdr:colOff>129687</xdr:colOff>
      <xdr:row>38</xdr:row>
      <xdr:rowOff>9685</xdr:rowOff>
    </xdr:to>
    <xdr:cxnSp macro="">
      <xdr:nvCxnSpPr>
        <xdr:cNvPr id="176" name="Connector: Elbow 175">
          <a:extLst>
            <a:ext uri="{FF2B5EF4-FFF2-40B4-BE49-F238E27FC236}">
              <a16:creationId xmlns:a16="http://schemas.microsoft.com/office/drawing/2014/main" id="{4542B98A-9946-4076-8DAF-655A8467442E}"/>
            </a:ext>
          </a:extLst>
        </xdr:cNvPr>
        <xdr:cNvCxnSpPr>
          <a:stCxn id="171" idx="1"/>
          <a:endCxn id="151" idx="2"/>
        </xdr:cNvCxnSpPr>
      </xdr:nvCxnSpPr>
      <xdr:spPr>
        <a:xfrm rot="10800000">
          <a:off x="2021443" y="6952290"/>
          <a:ext cx="622844" cy="296395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95253</xdr:colOff>
      <xdr:row>19</xdr:row>
      <xdr:rowOff>54428</xdr:rowOff>
    </xdr:from>
    <xdr:to>
      <xdr:col>18</xdr:col>
      <xdr:colOff>190499</xdr:colOff>
      <xdr:row>29</xdr:row>
      <xdr:rowOff>63500</xdr:rowOff>
    </xdr:to>
    <xdr:cxnSp macro="">
      <xdr:nvCxnSpPr>
        <xdr:cNvPr id="177" name="Connector: Elbow 176">
          <a:extLst>
            <a:ext uri="{FF2B5EF4-FFF2-40B4-BE49-F238E27FC236}">
              <a16:creationId xmlns:a16="http://schemas.microsoft.com/office/drawing/2014/main" id="{22564F7B-2598-4207-9DFC-F7AA04B3D963}"/>
            </a:ext>
          </a:extLst>
        </xdr:cNvPr>
        <xdr:cNvCxnSpPr/>
      </xdr:nvCxnSpPr>
      <xdr:spPr>
        <a:xfrm rot="5400000" flipH="1" flipV="1">
          <a:off x="4529365" y="4269016"/>
          <a:ext cx="1914072" cy="723896"/>
        </a:xfrm>
        <a:prstGeom prst="bentConnector3">
          <a:avLst>
            <a:gd name="adj1" fmla="val -102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270609</xdr:colOff>
      <xdr:row>27</xdr:row>
      <xdr:rowOff>73822</xdr:rowOff>
    </xdr:from>
    <xdr:ext cx="350417" cy="233205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40F9567D-ACA9-4EFB-9E28-15096E7B9373}"/>
            </a:ext>
          </a:extLst>
        </xdr:cNvPr>
        <xdr:cNvSpPr txBox="1"/>
      </xdr:nvSpPr>
      <xdr:spPr>
        <a:xfrm>
          <a:off x="3728184" y="5217322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L18</a:t>
          </a:r>
        </a:p>
      </xdr:txBody>
    </xdr:sp>
    <xdr:clientData/>
  </xdr:oneCellAnchor>
  <xdr:oneCellAnchor>
    <xdr:from>
      <xdr:col>16</xdr:col>
      <xdr:colOff>43179</xdr:colOff>
      <xdr:row>26</xdr:row>
      <xdr:rowOff>178419</xdr:rowOff>
    </xdr:from>
    <xdr:ext cx="350417" cy="233205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39F18C1E-D57F-4143-9131-CA53583B0937}"/>
            </a:ext>
          </a:extLst>
        </xdr:cNvPr>
        <xdr:cNvSpPr txBox="1"/>
      </xdr:nvSpPr>
      <xdr:spPr>
        <a:xfrm>
          <a:off x="5072379" y="513141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L27</a:t>
          </a:r>
        </a:p>
      </xdr:txBody>
    </xdr:sp>
    <xdr:clientData/>
  </xdr:oneCellAnchor>
  <xdr:oneCellAnchor>
    <xdr:from>
      <xdr:col>2</xdr:col>
      <xdr:colOff>97883</xdr:colOff>
      <xdr:row>21</xdr:row>
      <xdr:rowOff>94570</xdr:rowOff>
    </xdr:from>
    <xdr:ext cx="350417" cy="233205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8AECDACB-B990-42AF-B3C9-A6B2C8EC6866}"/>
            </a:ext>
          </a:extLst>
        </xdr:cNvPr>
        <xdr:cNvSpPr txBox="1"/>
      </xdr:nvSpPr>
      <xdr:spPr>
        <a:xfrm>
          <a:off x="726533" y="40950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L20</a:t>
          </a:r>
        </a:p>
      </xdr:txBody>
    </xdr:sp>
    <xdr:clientData/>
  </xdr:oneCellAnchor>
  <xdr:oneCellAnchor>
    <xdr:from>
      <xdr:col>7</xdr:col>
      <xdr:colOff>25785</xdr:colOff>
      <xdr:row>32</xdr:row>
      <xdr:rowOff>77136</xdr:rowOff>
    </xdr:from>
    <xdr:ext cx="350417" cy="233205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956C7050-2C68-41A0-9642-3D5694CEF069}"/>
            </a:ext>
          </a:extLst>
        </xdr:cNvPr>
        <xdr:cNvSpPr txBox="1"/>
      </xdr:nvSpPr>
      <xdr:spPr>
        <a:xfrm>
          <a:off x="2226060" y="617313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L21</a:t>
          </a:r>
        </a:p>
      </xdr:txBody>
    </xdr:sp>
    <xdr:clientData/>
  </xdr:oneCellAnchor>
  <xdr:oneCellAnchor>
    <xdr:from>
      <xdr:col>7</xdr:col>
      <xdr:colOff>32411</xdr:colOff>
      <xdr:row>36</xdr:row>
      <xdr:rowOff>83762</xdr:rowOff>
    </xdr:from>
    <xdr:ext cx="350417" cy="233205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49FD07E-38A3-4B25-AA4F-AB3B4D5A2678}"/>
            </a:ext>
          </a:extLst>
        </xdr:cNvPr>
        <xdr:cNvSpPr txBox="1"/>
      </xdr:nvSpPr>
      <xdr:spPr>
        <a:xfrm>
          <a:off x="2232686" y="6941762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L22</a:t>
          </a:r>
        </a:p>
      </xdr:txBody>
    </xdr:sp>
    <xdr:clientData/>
  </xdr:oneCellAnchor>
  <xdr:oneCellAnchor>
    <xdr:from>
      <xdr:col>11</xdr:col>
      <xdr:colOff>310708</xdr:colOff>
      <xdr:row>32</xdr:row>
      <xdr:rowOff>50631</xdr:rowOff>
    </xdr:from>
    <xdr:ext cx="350417" cy="23320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FBB53AB4-2C04-4F29-AD10-BC181295D0E0}"/>
            </a:ext>
          </a:extLst>
        </xdr:cNvPr>
        <xdr:cNvSpPr txBox="1"/>
      </xdr:nvSpPr>
      <xdr:spPr>
        <a:xfrm>
          <a:off x="3768283" y="6146631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L23</a:t>
          </a:r>
        </a:p>
      </xdr:txBody>
    </xdr:sp>
    <xdr:clientData/>
  </xdr:oneCellAnchor>
  <xdr:oneCellAnchor>
    <xdr:from>
      <xdr:col>11</xdr:col>
      <xdr:colOff>310708</xdr:colOff>
      <xdr:row>34</xdr:row>
      <xdr:rowOff>77135</xdr:rowOff>
    </xdr:from>
    <xdr:ext cx="350417" cy="233205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BD742AB6-FC37-43FB-B307-DEF178B7F1D3}"/>
            </a:ext>
          </a:extLst>
        </xdr:cNvPr>
        <xdr:cNvSpPr txBox="1"/>
      </xdr:nvSpPr>
      <xdr:spPr>
        <a:xfrm>
          <a:off x="3768283" y="655413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L24</a:t>
          </a:r>
        </a:p>
      </xdr:txBody>
    </xdr:sp>
    <xdr:clientData/>
  </xdr:oneCellAnchor>
  <xdr:oneCellAnchor>
    <xdr:from>
      <xdr:col>11</xdr:col>
      <xdr:colOff>310708</xdr:colOff>
      <xdr:row>36</xdr:row>
      <xdr:rowOff>83761</xdr:rowOff>
    </xdr:from>
    <xdr:ext cx="350417" cy="233205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17B8AFF7-F539-4DDE-A544-D307F8A53833}"/>
            </a:ext>
          </a:extLst>
        </xdr:cNvPr>
        <xdr:cNvSpPr txBox="1"/>
      </xdr:nvSpPr>
      <xdr:spPr>
        <a:xfrm>
          <a:off x="3768283" y="6941761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L25</a:t>
          </a:r>
        </a:p>
      </xdr:txBody>
    </xdr:sp>
    <xdr:clientData/>
  </xdr:oneCellAnchor>
  <xdr:twoCellAnchor>
    <xdr:from>
      <xdr:col>3</xdr:col>
      <xdr:colOff>159852</xdr:colOff>
      <xdr:row>44</xdr:row>
      <xdr:rowOff>18785</xdr:rowOff>
    </xdr:from>
    <xdr:to>
      <xdr:col>6</xdr:col>
      <xdr:colOff>216319</xdr:colOff>
      <xdr:row>45</xdr:row>
      <xdr:rowOff>138908</xdr:rowOff>
    </xdr:to>
    <xdr:grpSp>
      <xdr:nvGrpSpPr>
        <xdr:cNvPr id="186" name="Group 185">
          <a:extLst>
            <a:ext uri="{FF2B5EF4-FFF2-40B4-BE49-F238E27FC236}">
              <a16:creationId xmlns:a16="http://schemas.microsoft.com/office/drawing/2014/main" id="{B40891F9-BC87-4F2A-87C4-07E9675FEE7D}"/>
            </a:ext>
          </a:extLst>
        </xdr:cNvPr>
        <xdr:cNvGrpSpPr/>
      </xdr:nvGrpSpPr>
      <xdr:grpSpPr>
        <a:xfrm>
          <a:off x="905287" y="8698959"/>
          <a:ext cx="1000684" cy="327188"/>
          <a:chOff x="2013862" y="4128460"/>
          <a:chExt cx="1013852" cy="275890"/>
        </a:xfrm>
      </xdr:grpSpPr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D77ACB10-FF30-3ABC-CD32-FC0BEF47962E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189" name="Rectangle 188">
              <a:extLst>
                <a:ext uri="{FF2B5EF4-FFF2-40B4-BE49-F238E27FC236}">
                  <a16:creationId xmlns:a16="http://schemas.microsoft.com/office/drawing/2014/main" id="{E114953A-065F-FAB8-EE64-41EA5314AD9F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0" name="Rectangle 189">
              <a:extLst>
                <a:ext uri="{FF2B5EF4-FFF2-40B4-BE49-F238E27FC236}">
                  <a16:creationId xmlns:a16="http://schemas.microsoft.com/office/drawing/2014/main" id="{1561450C-487F-9851-6CDD-A3F530B0325A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1" name="Rectangle 190">
              <a:extLst>
                <a:ext uri="{FF2B5EF4-FFF2-40B4-BE49-F238E27FC236}">
                  <a16:creationId xmlns:a16="http://schemas.microsoft.com/office/drawing/2014/main" id="{9DCC6632-71C8-43D0-2C3E-F52941DA5959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2" name="Rectangle 191">
              <a:extLst>
                <a:ext uri="{FF2B5EF4-FFF2-40B4-BE49-F238E27FC236}">
                  <a16:creationId xmlns:a16="http://schemas.microsoft.com/office/drawing/2014/main" id="{B72D9BD1-1962-E667-2EAA-01A4DD34D3B6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3" name="Rectangle 192">
              <a:extLst>
                <a:ext uri="{FF2B5EF4-FFF2-40B4-BE49-F238E27FC236}">
                  <a16:creationId xmlns:a16="http://schemas.microsoft.com/office/drawing/2014/main" id="{B6CD381B-4E1D-1A39-5AAA-1E6088C9C2D8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4" name="Rectangle 193">
              <a:extLst>
                <a:ext uri="{FF2B5EF4-FFF2-40B4-BE49-F238E27FC236}">
                  <a16:creationId xmlns:a16="http://schemas.microsoft.com/office/drawing/2014/main" id="{D694881B-13CA-4691-82F0-0D8BD81B883B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5" name="Rectangle 194">
              <a:extLst>
                <a:ext uri="{FF2B5EF4-FFF2-40B4-BE49-F238E27FC236}">
                  <a16:creationId xmlns:a16="http://schemas.microsoft.com/office/drawing/2014/main" id="{D7F43F44-9B54-0354-4AA8-37AF6D652730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6" name="Rectangle 195">
              <a:extLst>
                <a:ext uri="{FF2B5EF4-FFF2-40B4-BE49-F238E27FC236}">
                  <a16:creationId xmlns:a16="http://schemas.microsoft.com/office/drawing/2014/main" id="{B45EEB40-F833-CE7E-9C93-12C70AFF16B1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F1FE0814-ED71-3CBB-D813-1AFAC006B363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31</a:t>
            </a:r>
          </a:p>
        </xdr:txBody>
      </xdr:sp>
    </xdr:grpSp>
    <xdr:clientData/>
  </xdr:twoCellAnchor>
  <xdr:twoCellAnchor>
    <xdr:from>
      <xdr:col>13</xdr:col>
      <xdr:colOff>100217</xdr:colOff>
      <xdr:row>43</xdr:row>
      <xdr:rowOff>170081</xdr:rowOff>
    </xdr:from>
    <xdr:to>
      <xdr:col>16</xdr:col>
      <xdr:colOff>156684</xdr:colOff>
      <xdr:row>45</xdr:row>
      <xdr:rowOff>112404</xdr:rowOff>
    </xdr:to>
    <xdr:grpSp>
      <xdr:nvGrpSpPr>
        <xdr:cNvPr id="197" name="Group 196">
          <a:extLst>
            <a:ext uri="{FF2B5EF4-FFF2-40B4-BE49-F238E27FC236}">
              <a16:creationId xmlns:a16="http://schemas.microsoft.com/office/drawing/2014/main" id="{10C945BB-D458-4A6C-90CD-FEBB041D8621}"/>
            </a:ext>
          </a:extLst>
        </xdr:cNvPr>
        <xdr:cNvGrpSpPr/>
      </xdr:nvGrpSpPr>
      <xdr:grpSpPr>
        <a:xfrm>
          <a:off x="3993043" y="8643190"/>
          <a:ext cx="1000684" cy="356453"/>
          <a:chOff x="2013862" y="4128460"/>
          <a:chExt cx="1013852" cy="275890"/>
        </a:xfrm>
      </xdr:grpSpPr>
      <xdr:grpSp>
        <xdr:nvGrpSpPr>
          <xdr:cNvPr id="198" name="Group 197">
            <a:extLst>
              <a:ext uri="{FF2B5EF4-FFF2-40B4-BE49-F238E27FC236}">
                <a16:creationId xmlns:a16="http://schemas.microsoft.com/office/drawing/2014/main" id="{B9B30639-0E89-DEDC-A4FB-35FDB4FADA7B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200" name="Rectangle 199">
              <a:extLst>
                <a:ext uri="{FF2B5EF4-FFF2-40B4-BE49-F238E27FC236}">
                  <a16:creationId xmlns:a16="http://schemas.microsoft.com/office/drawing/2014/main" id="{435CD8CB-F99A-7B11-6C42-B5C41FEAA3BD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1" name="Rectangle 200">
              <a:extLst>
                <a:ext uri="{FF2B5EF4-FFF2-40B4-BE49-F238E27FC236}">
                  <a16:creationId xmlns:a16="http://schemas.microsoft.com/office/drawing/2014/main" id="{DBA1CA77-1A18-07E5-A1E9-BABAF6ECDCDE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2" name="Rectangle 201">
              <a:extLst>
                <a:ext uri="{FF2B5EF4-FFF2-40B4-BE49-F238E27FC236}">
                  <a16:creationId xmlns:a16="http://schemas.microsoft.com/office/drawing/2014/main" id="{93501B47-707B-8394-2C90-DCD3DB4862FF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3" name="Rectangle 202">
              <a:extLst>
                <a:ext uri="{FF2B5EF4-FFF2-40B4-BE49-F238E27FC236}">
                  <a16:creationId xmlns:a16="http://schemas.microsoft.com/office/drawing/2014/main" id="{66BC40BC-0205-D195-C573-69266D781B10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4" name="Rectangle 203">
              <a:extLst>
                <a:ext uri="{FF2B5EF4-FFF2-40B4-BE49-F238E27FC236}">
                  <a16:creationId xmlns:a16="http://schemas.microsoft.com/office/drawing/2014/main" id="{A49FEC7C-2083-7B8C-836E-418D8A764EB0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5" name="Rectangle 204">
              <a:extLst>
                <a:ext uri="{FF2B5EF4-FFF2-40B4-BE49-F238E27FC236}">
                  <a16:creationId xmlns:a16="http://schemas.microsoft.com/office/drawing/2014/main" id="{A3FA6F35-07E2-C748-41D9-50C782BA19F3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6" name="Rectangle 205">
              <a:extLst>
                <a:ext uri="{FF2B5EF4-FFF2-40B4-BE49-F238E27FC236}">
                  <a16:creationId xmlns:a16="http://schemas.microsoft.com/office/drawing/2014/main" id="{1A7C6D8B-C2A3-CEB5-FC3B-B0BE33A198D8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7" name="Rectangle 206">
              <a:extLst>
                <a:ext uri="{FF2B5EF4-FFF2-40B4-BE49-F238E27FC236}">
                  <a16:creationId xmlns:a16="http://schemas.microsoft.com/office/drawing/2014/main" id="{4C5CA259-34A7-89E8-DEBE-64D085D072B3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8F0D9132-D190-E82B-B10E-0E9D9A2C349B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30</a:t>
            </a:r>
          </a:p>
        </xdr:txBody>
      </xdr:sp>
    </xdr:grpSp>
    <xdr:clientData/>
  </xdr:twoCellAnchor>
  <xdr:twoCellAnchor>
    <xdr:from>
      <xdr:col>8</xdr:col>
      <xdr:colOff>92138</xdr:colOff>
      <xdr:row>42</xdr:row>
      <xdr:rowOff>70482</xdr:rowOff>
    </xdr:from>
    <xdr:to>
      <xdr:col>11</xdr:col>
      <xdr:colOff>177590</xdr:colOff>
      <xdr:row>43</xdr:row>
      <xdr:rowOff>155178</xdr:rowOff>
    </xdr:to>
    <xdr:grpSp>
      <xdr:nvGrpSpPr>
        <xdr:cNvPr id="208" name="Group 207">
          <a:extLst>
            <a:ext uri="{FF2B5EF4-FFF2-40B4-BE49-F238E27FC236}">
              <a16:creationId xmlns:a16="http://schemas.microsoft.com/office/drawing/2014/main" id="{BF54CA3E-2A6B-44B1-9557-CB32C55C3F3B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11268" y="8336525"/>
          <a:ext cx="1029670" cy="291762"/>
          <a:chOff x="954877" y="2135737"/>
          <a:chExt cx="1042837" cy="272997"/>
        </a:xfrm>
      </xdr:grpSpPr>
      <xdr:sp macro="" textlink="">
        <xdr:nvSpPr>
          <xdr:cNvPr id="209" name="Rectangle 208">
            <a:extLst>
              <a:ext uri="{FF2B5EF4-FFF2-40B4-BE49-F238E27FC236}">
                <a16:creationId xmlns:a16="http://schemas.microsoft.com/office/drawing/2014/main" id="{42F1CD0F-C9EE-3D3B-AC32-F0151DF3676E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(4)</a:t>
            </a:r>
          </a:p>
        </xdr:txBody>
      </xdr:sp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8F4A4F79-AFFF-2B2F-5F51-E9128780E27F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32</a:t>
            </a:r>
          </a:p>
        </xdr:txBody>
      </xdr:sp>
    </xdr:grpSp>
    <xdr:clientData/>
  </xdr:twoCellAnchor>
  <xdr:twoCellAnchor>
    <xdr:from>
      <xdr:col>8</xdr:col>
      <xdr:colOff>85512</xdr:colOff>
      <xdr:row>44</xdr:row>
      <xdr:rowOff>90359</xdr:rowOff>
    </xdr:from>
    <xdr:to>
      <xdr:col>11</xdr:col>
      <xdr:colOff>170964</xdr:colOff>
      <xdr:row>45</xdr:row>
      <xdr:rowOff>168153</xdr:rowOff>
    </xdr:to>
    <xdr:grpSp>
      <xdr:nvGrpSpPr>
        <xdr:cNvPr id="211" name="Group 210">
          <a:extLst>
            <a:ext uri="{FF2B5EF4-FFF2-40B4-BE49-F238E27FC236}">
              <a16:creationId xmlns:a16="http://schemas.microsoft.com/office/drawing/2014/main" id="{CEDEE984-7DAA-442F-BFA3-5D269DA4CC2D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04642" y="8770533"/>
          <a:ext cx="1029670" cy="284859"/>
          <a:chOff x="954877" y="2135737"/>
          <a:chExt cx="1042837" cy="272997"/>
        </a:xfrm>
      </xdr:grpSpPr>
      <xdr:sp macro="" textlink="">
        <xdr:nvSpPr>
          <xdr:cNvPr id="212" name="Rectangle 211">
            <a:extLst>
              <a:ext uri="{FF2B5EF4-FFF2-40B4-BE49-F238E27FC236}">
                <a16:creationId xmlns:a16="http://schemas.microsoft.com/office/drawing/2014/main" id="{DD9BD3D0-A542-0D2D-477F-EC1E5222161D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(4)</a:t>
            </a:r>
          </a:p>
        </xdr:txBody>
      </xdr:sp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862651ED-C449-8AD8-1F14-6B62051BA395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33</a:t>
            </a:r>
          </a:p>
        </xdr:txBody>
      </xdr:sp>
    </xdr:grpSp>
    <xdr:clientData/>
  </xdr:twoCellAnchor>
  <xdr:twoCellAnchor>
    <xdr:from>
      <xdr:col>8</xdr:col>
      <xdr:colOff>78886</xdr:colOff>
      <xdr:row>46</xdr:row>
      <xdr:rowOff>96710</xdr:rowOff>
    </xdr:from>
    <xdr:to>
      <xdr:col>11</xdr:col>
      <xdr:colOff>164338</xdr:colOff>
      <xdr:row>48</xdr:row>
      <xdr:rowOff>3605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73810DB0-DE08-44E4-BA9A-9FA95E3252B0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98016" y="9191014"/>
          <a:ext cx="1029670" cy="321026"/>
          <a:chOff x="954877" y="2135737"/>
          <a:chExt cx="1042837" cy="272997"/>
        </a:xfrm>
      </xdr:grpSpPr>
      <xdr:sp macro="" textlink="">
        <xdr:nvSpPr>
          <xdr:cNvPr id="215" name="Rectangle 214">
            <a:extLst>
              <a:ext uri="{FF2B5EF4-FFF2-40B4-BE49-F238E27FC236}">
                <a16:creationId xmlns:a16="http://schemas.microsoft.com/office/drawing/2014/main" id="{C2DF5B99-5687-DF1A-1FE6-3150187C0278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RCON (4)</a:t>
            </a:r>
          </a:p>
        </xdr:txBody>
      </xdr:sp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E9C0213-5F08-194D-19B3-BF3187CE73E0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34</a:t>
            </a:r>
          </a:p>
        </xdr:txBody>
      </xdr:sp>
    </xdr:grpSp>
    <xdr:clientData/>
  </xdr:twoCellAnchor>
  <xdr:twoCellAnchor>
    <xdr:from>
      <xdr:col>11</xdr:col>
      <xdr:colOff>177590</xdr:colOff>
      <xdr:row>43</xdr:row>
      <xdr:rowOff>19953</xdr:rowOff>
    </xdr:from>
    <xdr:to>
      <xdr:col>14</xdr:col>
      <xdr:colOff>133004</xdr:colOff>
      <xdr:row>43</xdr:row>
      <xdr:rowOff>170081</xdr:rowOff>
    </xdr:to>
    <xdr:cxnSp macro="">
      <xdr:nvCxnSpPr>
        <xdr:cNvPr id="217" name="Connector: Elbow 216">
          <a:extLst>
            <a:ext uri="{FF2B5EF4-FFF2-40B4-BE49-F238E27FC236}">
              <a16:creationId xmlns:a16="http://schemas.microsoft.com/office/drawing/2014/main" id="{A747A97B-B873-4119-80D1-A3647157B67C}"/>
            </a:ext>
          </a:extLst>
        </xdr:cNvPr>
        <xdr:cNvCxnSpPr>
          <a:stCxn id="209" idx="3"/>
          <a:endCxn id="200" idx="0"/>
        </xdr:cNvCxnSpPr>
      </xdr:nvCxnSpPr>
      <xdr:spPr>
        <a:xfrm>
          <a:off x="3635165" y="8211453"/>
          <a:ext cx="898389" cy="150128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170964</xdr:colOff>
      <xdr:row>45</xdr:row>
      <xdr:rowOff>39830</xdr:rowOff>
    </xdr:from>
    <xdr:to>
      <xdr:col>14</xdr:col>
      <xdr:colOff>222072</xdr:colOff>
      <xdr:row>45</xdr:row>
      <xdr:rowOff>112139</xdr:rowOff>
    </xdr:to>
    <xdr:cxnSp macro="">
      <xdr:nvCxnSpPr>
        <xdr:cNvPr id="218" name="Connector: Elbow 217">
          <a:extLst>
            <a:ext uri="{FF2B5EF4-FFF2-40B4-BE49-F238E27FC236}">
              <a16:creationId xmlns:a16="http://schemas.microsoft.com/office/drawing/2014/main" id="{5F66BBF8-E246-4064-84C6-8342AE8F00C1}"/>
            </a:ext>
          </a:extLst>
        </xdr:cNvPr>
        <xdr:cNvCxnSpPr>
          <a:stCxn id="212" idx="3"/>
          <a:endCxn id="201" idx="2"/>
        </xdr:cNvCxnSpPr>
      </xdr:nvCxnSpPr>
      <xdr:spPr>
        <a:xfrm>
          <a:off x="3628539" y="8612330"/>
          <a:ext cx="994083" cy="72309"/>
        </a:xfrm>
        <a:prstGeom prst="bentConnector4">
          <a:avLst>
            <a:gd name="adj1" fmla="val 45170"/>
            <a:gd name="adj2" fmla="val 320304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164338</xdr:colOff>
      <xdr:row>45</xdr:row>
      <xdr:rowOff>112139</xdr:rowOff>
    </xdr:from>
    <xdr:to>
      <xdr:col>14</xdr:col>
      <xdr:colOff>323287</xdr:colOff>
      <xdr:row>47</xdr:row>
      <xdr:rowOff>51702</xdr:rowOff>
    </xdr:to>
    <xdr:cxnSp macro="">
      <xdr:nvCxnSpPr>
        <xdr:cNvPr id="219" name="Connector: Elbow 218">
          <a:extLst>
            <a:ext uri="{FF2B5EF4-FFF2-40B4-BE49-F238E27FC236}">
              <a16:creationId xmlns:a16="http://schemas.microsoft.com/office/drawing/2014/main" id="{F0C51010-FDD0-40F4-981C-187396A51EC0}"/>
            </a:ext>
          </a:extLst>
        </xdr:cNvPr>
        <xdr:cNvCxnSpPr>
          <a:stCxn id="215" idx="3"/>
          <a:endCxn id="202" idx="2"/>
        </xdr:cNvCxnSpPr>
      </xdr:nvCxnSpPr>
      <xdr:spPr>
        <a:xfrm flipV="1">
          <a:off x="3621913" y="8684639"/>
          <a:ext cx="1092399" cy="320563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84693</xdr:colOff>
      <xdr:row>45</xdr:row>
      <xdr:rowOff>138740</xdr:rowOff>
    </xdr:from>
    <xdr:to>
      <xdr:col>8</xdr:col>
      <xdr:colOff>78887</xdr:colOff>
      <xdr:row>47</xdr:row>
      <xdr:rowOff>54135</xdr:rowOff>
    </xdr:to>
    <xdr:cxnSp macro="">
      <xdr:nvCxnSpPr>
        <xdr:cNvPr id="220" name="Connector: Elbow 219">
          <a:extLst>
            <a:ext uri="{FF2B5EF4-FFF2-40B4-BE49-F238E27FC236}">
              <a16:creationId xmlns:a16="http://schemas.microsoft.com/office/drawing/2014/main" id="{08EF2C8F-0CBF-483A-875E-7E9E0945EEC9}"/>
            </a:ext>
          </a:extLst>
        </xdr:cNvPr>
        <xdr:cNvCxnSpPr>
          <a:stCxn id="216" idx="1"/>
          <a:endCxn id="196" idx="2"/>
        </xdr:cNvCxnSpPr>
      </xdr:nvCxnSpPr>
      <xdr:spPr>
        <a:xfrm rot="10800000">
          <a:off x="1970643" y="8711240"/>
          <a:ext cx="622844" cy="296395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296114</xdr:colOff>
      <xdr:row>45</xdr:row>
      <xdr:rowOff>142450</xdr:rowOff>
    </xdr:from>
    <xdr:ext cx="350417" cy="233205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B857D604-D5DD-4551-B664-9B96ED94869D}"/>
            </a:ext>
          </a:extLst>
        </xdr:cNvPr>
        <xdr:cNvSpPr txBox="1"/>
      </xdr:nvSpPr>
      <xdr:spPr>
        <a:xfrm>
          <a:off x="2182064" y="871495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L37</a:t>
          </a:r>
        </a:p>
      </xdr:txBody>
    </xdr:sp>
    <xdr:clientData/>
  </xdr:oneCellAnchor>
  <xdr:oneCellAnchor>
    <xdr:from>
      <xdr:col>11</xdr:col>
      <xdr:colOff>259908</xdr:colOff>
      <xdr:row>41</xdr:row>
      <xdr:rowOff>88731</xdr:rowOff>
    </xdr:from>
    <xdr:ext cx="350417" cy="233205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74E5754-6FE2-496D-AD88-E65CDD20DFD0}"/>
            </a:ext>
          </a:extLst>
        </xdr:cNvPr>
        <xdr:cNvSpPr txBox="1"/>
      </xdr:nvSpPr>
      <xdr:spPr>
        <a:xfrm>
          <a:off x="3717483" y="7899231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L38</a:t>
          </a:r>
        </a:p>
      </xdr:txBody>
    </xdr:sp>
    <xdr:clientData/>
  </xdr:oneCellAnchor>
  <xdr:oneCellAnchor>
    <xdr:from>
      <xdr:col>15</xdr:col>
      <xdr:colOff>51265</xdr:colOff>
      <xdr:row>40</xdr:row>
      <xdr:rowOff>60806</xdr:rowOff>
    </xdr:from>
    <xdr:ext cx="350417" cy="233205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47083ECD-5DDD-4822-B58C-EC3E8F1B8560}"/>
            </a:ext>
          </a:extLst>
        </xdr:cNvPr>
        <xdr:cNvSpPr txBox="1"/>
      </xdr:nvSpPr>
      <xdr:spPr>
        <a:xfrm>
          <a:off x="4766140" y="768080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L41</a:t>
          </a:r>
        </a:p>
      </xdr:txBody>
    </xdr:sp>
    <xdr:clientData/>
  </xdr:oneCellAnchor>
  <xdr:twoCellAnchor>
    <xdr:from>
      <xdr:col>17</xdr:col>
      <xdr:colOff>134452</xdr:colOff>
      <xdr:row>31</xdr:row>
      <xdr:rowOff>75946</xdr:rowOff>
    </xdr:from>
    <xdr:to>
      <xdr:col>19</xdr:col>
      <xdr:colOff>273050</xdr:colOff>
      <xdr:row>33</xdr:row>
      <xdr:rowOff>18264</xdr:rowOff>
    </xdr:to>
    <xdr:grpSp>
      <xdr:nvGrpSpPr>
        <xdr:cNvPr id="224" name="Group 223">
          <a:extLst>
            <a:ext uri="{FF2B5EF4-FFF2-40B4-BE49-F238E27FC236}">
              <a16:creationId xmlns:a16="http://schemas.microsoft.com/office/drawing/2014/main" id="{D84DCB0C-FD36-49F9-A063-9F0E86FFC4DA}"/>
            </a:ext>
          </a:extLst>
        </xdr:cNvPr>
        <xdr:cNvGrpSpPr/>
      </xdr:nvGrpSpPr>
      <xdr:grpSpPr>
        <a:xfrm>
          <a:off x="5286235" y="6089120"/>
          <a:ext cx="768076" cy="356448"/>
          <a:chOff x="2013862" y="4128465"/>
          <a:chExt cx="752288" cy="275885"/>
        </a:xfrm>
      </xdr:grpSpPr>
      <xdr:grpSp>
        <xdr:nvGrpSpPr>
          <xdr:cNvPr id="225" name="Group 224">
            <a:extLst>
              <a:ext uri="{FF2B5EF4-FFF2-40B4-BE49-F238E27FC236}">
                <a16:creationId xmlns:a16="http://schemas.microsoft.com/office/drawing/2014/main" id="{B423944B-E939-23A7-2D0B-731F94570B3B}"/>
              </a:ext>
            </a:extLst>
          </xdr:cNvPr>
          <xdr:cNvGrpSpPr/>
        </xdr:nvGrpSpPr>
        <xdr:grpSpPr>
          <a:xfrm>
            <a:off x="2321562" y="4128465"/>
            <a:ext cx="444588" cy="275687"/>
            <a:chOff x="2059356" y="3109972"/>
            <a:chExt cx="446477" cy="266878"/>
          </a:xfrm>
        </xdr:grpSpPr>
        <xdr:sp macro="" textlink="">
          <xdr:nvSpPr>
            <xdr:cNvPr id="227" name="Rectangle 226">
              <a:extLst>
                <a:ext uri="{FF2B5EF4-FFF2-40B4-BE49-F238E27FC236}">
                  <a16:creationId xmlns:a16="http://schemas.microsoft.com/office/drawing/2014/main" id="{E6394423-87D3-1349-5989-6F660B480D19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8" name="Rectangle 227">
              <a:extLst>
                <a:ext uri="{FF2B5EF4-FFF2-40B4-BE49-F238E27FC236}">
                  <a16:creationId xmlns:a16="http://schemas.microsoft.com/office/drawing/2014/main" id="{DB943483-B4F1-18AD-59D5-B71C2F4CBEF8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9" name="Rectangle 228">
              <a:extLst>
                <a:ext uri="{FF2B5EF4-FFF2-40B4-BE49-F238E27FC236}">
                  <a16:creationId xmlns:a16="http://schemas.microsoft.com/office/drawing/2014/main" id="{4A8F5891-49D9-9F20-9FEC-BCBF2A654CD1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0" name="Rectangle 229">
              <a:extLst>
                <a:ext uri="{FF2B5EF4-FFF2-40B4-BE49-F238E27FC236}">
                  <a16:creationId xmlns:a16="http://schemas.microsoft.com/office/drawing/2014/main" id="{B598934B-A6EB-298D-3275-56A9ADA1C68F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1" name="Rectangle 230">
              <a:extLst>
                <a:ext uri="{FF2B5EF4-FFF2-40B4-BE49-F238E27FC236}">
                  <a16:creationId xmlns:a16="http://schemas.microsoft.com/office/drawing/2014/main" id="{2ED0DF54-FFF4-AFD2-3BF5-C18A14558C44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26" name="TextBox 225">
            <a:extLst>
              <a:ext uri="{FF2B5EF4-FFF2-40B4-BE49-F238E27FC236}">
                <a16:creationId xmlns:a16="http://schemas.microsoft.com/office/drawing/2014/main" id="{58E3F878-8965-DCF3-3ACC-DB8B34C65E6E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16</a:t>
            </a:r>
          </a:p>
        </xdr:txBody>
      </xdr:sp>
    </xdr:grpSp>
    <xdr:clientData/>
  </xdr:twoCellAnchor>
  <xdr:twoCellAnchor>
    <xdr:from>
      <xdr:col>16</xdr:col>
      <xdr:colOff>15343</xdr:colOff>
      <xdr:row>26</xdr:row>
      <xdr:rowOff>2472</xdr:rowOff>
    </xdr:from>
    <xdr:to>
      <xdr:col>18</xdr:col>
      <xdr:colOff>178067</xdr:colOff>
      <xdr:row>31</xdr:row>
      <xdr:rowOff>75946</xdr:rowOff>
    </xdr:to>
    <xdr:cxnSp macro="">
      <xdr:nvCxnSpPr>
        <xdr:cNvPr id="232" name="Connector: Elbow 231">
          <a:extLst>
            <a:ext uri="{FF2B5EF4-FFF2-40B4-BE49-F238E27FC236}">
              <a16:creationId xmlns:a16="http://schemas.microsoft.com/office/drawing/2014/main" id="{FFD5E9E7-C70B-4BDA-84F0-4D810092F30F}"/>
            </a:ext>
          </a:extLst>
        </xdr:cNvPr>
        <xdr:cNvCxnSpPr>
          <a:stCxn id="114" idx="2"/>
          <a:endCxn id="227" idx="0"/>
        </xdr:cNvCxnSpPr>
      </xdr:nvCxnSpPr>
      <xdr:spPr>
        <a:xfrm rot="16200000" flipH="1">
          <a:off x="4927243" y="5072772"/>
          <a:ext cx="1025974" cy="791374"/>
        </a:xfrm>
        <a:prstGeom prst="bentConnector3">
          <a:avLst>
            <a:gd name="adj1" fmla="val 82988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7453</xdr:colOff>
      <xdr:row>35</xdr:row>
      <xdr:rowOff>12460</xdr:rowOff>
    </xdr:from>
    <xdr:to>
      <xdr:col>19</xdr:col>
      <xdr:colOff>233951</xdr:colOff>
      <xdr:row>36</xdr:row>
      <xdr:rowOff>126223</xdr:rowOff>
    </xdr:to>
    <xdr:grpSp>
      <xdr:nvGrpSpPr>
        <xdr:cNvPr id="233" name="Group 232">
          <a:extLst>
            <a:ext uri="{FF2B5EF4-FFF2-40B4-BE49-F238E27FC236}">
              <a16:creationId xmlns:a16="http://schemas.microsoft.com/office/drawing/2014/main" id="{B479F96C-C23C-4772-9536-D672B05A8315}"/>
            </a:ext>
          </a:extLst>
        </xdr:cNvPr>
        <xdr:cNvGrpSpPr/>
      </xdr:nvGrpSpPr>
      <xdr:grpSpPr>
        <a:xfrm>
          <a:off x="5473975" y="6853895"/>
          <a:ext cx="541237" cy="295980"/>
          <a:chOff x="5726422" y="6287054"/>
          <a:chExt cx="555904" cy="296325"/>
        </a:xfrm>
      </xdr:grpSpPr>
      <xdr:sp macro="" textlink="">
        <xdr:nvSpPr>
          <xdr:cNvPr id="234" name="Rectangle 233">
            <a:extLst>
              <a:ext uri="{FF2B5EF4-FFF2-40B4-BE49-F238E27FC236}">
                <a16:creationId xmlns:a16="http://schemas.microsoft.com/office/drawing/2014/main" id="{4EC27D40-2211-4BD2-8DF3-940010BF15DD}"/>
              </a:ext>
            </a:extLst>
          </xdr:cNvPr>
          <xdr:cNvSpPr/>
        </xdr:nvSpPr>
        <xdr:spPr>
          <a:xfrm>
            <a:off x="6052891" y="6287054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9835312F-DD25-593C-364B-5EA4156687CC}"/>
              </a:ext>
            </a:extLst>
          </xdr:cNvPr>
          <xdr:cNvSpPr txBox="1"/>
        </xdr:nvSpPr>
        <xdr:spPr>
          <a:xfrm>
            <a:off x="5726422" y="6290828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18</a:t>
            </a:r>
          </a:p>
        </xdr:txBody>
      </xdr:sp>
    </xdr:grpSp>
    <xdr:clientData/>
  </xdr:twoCellAnchor>
  <xdr:twoCellAnchor>
    <xdr:from>
      <xdr:col>20</xdr:col>
      <xdr:colOff>126516</xdr:colOff>
      <xdr:row>35</xdr:row>
      <xdr:rowOff>15875</xdr:rowOff>
    </xdr:from>
    <xdr:to>
      <xdr:col>21</xdr:col>
      <xdr:colOff>352466</xdr:colOff>
      <xdr:row>36</xdr:row>
      <xdr:rowOff>130192</xdr:rowOff>
    </xdr:to>
    <xdr:grpSp>
      <xdr:nvGrpSpPr>
        <xdr:cNvPr id="236" name="Group 235">
          <a:extLst>
            <a:ext uri="{FF2B5EF4-FFF2-40B4-BE49-F238E27FC236}">
              <a16:creationId xmlns:a16="http://schemas.microsoft.com/office/drawing/2014/main" id="{C74D9DE7-DA7B-493E-A97C-9CFC5464846B}"/>
            </a:ext>
          </a:extLst>
        </xdr:cNvPr>
        <xdr:cNvGrpSpPr/>
      </xdr:nvGrpSpPr>
      <xdr:grpSpPr>
        <a:xfrm>
          <a:off x="6222516" y="6857310"/>
          <a:ext cx="540689" cy="296534"/>
          <a:chOff x="6504297" y="6290469"/>
          <a:chExt cx="555357" cy="296879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A52487A0-45E7-CCB2-6E5C-1C2984A239B2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19</a:t>
            </a:r>
          </a:p>
        </xdr:txBody>
      </xdr:sp>
      <xdr:sp macro="" textlink="">
        <xdr:nvSpPr>
          <xdr:cNvPr id="238" name="Rectangle 237">
            <a:extLst>
              <a:ext uri="{FF2B5EF4-FFF2-40B4-BE49-F238E27FC236}">
                <a16:creationId xmlns:a16="http://schemas.microsoft.com/office/drawing/2014/main" id="{5E16B2C0-5CB6-6204-E46F-2B94CBD3744A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172033</xdr:colOff>
      <xdr:row>33</xdr:row>
      <xdr:rowOff>18000</xdr:rowOff>
    </xdr:from>
    <xdr:to>
      <xdr:col>18</xdr:col>
      <xdr:colOff>272831</xdr:colOff>
      <xdr:row>35</xdr:row>
      <xdr:rowOff>16234</xdr:rowOff>
    </xdr:to>
    <xdr:cxnSp macro="">
      <xdr:nvCxnSpPr>
        <xdr:cNvPr id="239" name="Connector: Elbow 238">
          <a:extLst>
            <a:ext uri="{FF2B5EF4-FFF2-40B4-BE49-F238E27FC236}">
              <a16:creationId xmlns:a16="http://schemas.microsoft.com/office/drawing/2014/main" id="{18191E87-C6A4-4839-9A1E-D0CE50DC8400}"/>
            </a:ext>
          </a:extLst>
        </xdr:cNvPr>
        <xdr:cNvCxnSpPr>
          <a:stCxn id="228" idx="2"/>
          <a:endCxn id="235" idx="0"/>
        </xdr:cNvCxnSpPr>
      </xdr:nvCxnSpPr>
      <xdr:spPr>
        <a:xfrm rot="5400000">
          <a:off x="5690665" y="6443718"/>
          <a:ext cx="379234" cy="100798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38137</xdr:colOff>
      <xdr:row>33</xdr:row>
      <xdr:rowOff>18000</xdr:rowOff>
    </xdr:from>
    <xdr:to>
      <xdr:col>20</xdr:col>
      <xdr:colOff>291097</xdr:colOff>
      <xdr:row>35</xdr:row>
      <xdr:rowOff>20203</xdr:rowOff>
    </xdr:to>
    <xdr:cxnSp macro="">
      <xdr:nvCxnSpPr>
        <xdr:cNvPr id="240" name="Connector: Elbow 239">
          <a:extLst>
            <a:ext uri="{FF2B5EF4-FFF2-40B4-BE49-F238E27FC236}">
              <a16:creationId xmlns:a16="http://schemas.microsoft.com/office/drawing/2014/main" id="{ED108F75-E906-4002-96C0-B83D7F207F00}"/>
            </a:ext>
          </a:extLst>
        </xdr:cNvPr>
        <xdr:cNvCxnSpPr>
          <a:stCxn id="237" idx="0"/>
          <a:endCxn id="229" idx="2"/>
        </xdr:cNvCxnSpPr>
      </xdr:nvCxnSpPr>
      <xdr:spPr>
        <a:xfrm rot="16200000" flipV="1">
          <a:off x="6102353" y="6212459"/>
          <a:ext cx="383203" cy="567285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148603</xdr:colOff>
      <xdr:row>29</xdr:row>
      <xdr:rowOff>109747</xdr:rowOff>
    </xdr:from>
    <xdr:to>
      <xdr:col>21</xdr:col>
      <xdr:colOff>374553</xdr:colOff>
      <xdr:row>31</xdr:row>
      <xdr:rowOff>52890</xdr:rowOff>
    </xdr:to>
    <xdr:grpSp>
      <xdr:nvGrpSpPr>
        <xdr:cNvPr id="241" name="Group 240">
          <a:extLst>
            <a:ext uri="{FF2B5EF4-FFF2-40B4-BE49-F238E27FC236}">
              <a16:creationId xmlns:a16="http://schemas.microsoft.com/office/drawing/2014/main" id="{C06DAB85-3709-4D42-A3D7-9D863327B35C}"/>
            </a:ext>
          </a:extLst>
        </xdr:cNvPr>
        <xdr:cNvGrpSpPr/>
      </xdr:nvGrpSpPr>
      <xdr:grpSpPr>
        <a:xfrm>
          <a:off x="6244603" y="5708790"/>
          <a:ext cx="540689" cy="357274"/>
          <a:chOff x="6504297" y="6290469"/>
          <a:chExt cx="555357" cy="296879"/>
        </a:xfrm>
      </xdr:grpSpPr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96901AE3-AECB-7CD3-9268-995AFEF783E9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17</a:t>
            </a:r>
          </a:p>
        </xdr:txBody>
      </xdr:sp>
      <xdr:sp macro="" textlink="">
        <xdr:nvSpPr>
          <xdr:cNvPr id="243" name="Rectangle 242">
            <a:extLst>
              <a:ext uri="{FF2B5EF4-FFF2-40B4-BE49-F238E27FC236}">
                <a16:creationId xmlns:a16="http://schemas.microsoft.com/office/drawing/2014/main" id="{B5BD5417-28D6-EFCF-0737-E4294FC3DB99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130511</xdr:colOff>
      <xdr:row>30</xdr:row>
      <xdr:rowOff>83482</xdr:rowOff>
    </xdr:from>
    <xdr:to>
      <xdr:col>20</xdr:col>
      <xdr:colOff>148602</xdr:colOff>
      <xdr:row>31</xdr:row>
      <xdr:rowOff>75996</xdr:rowOff>
    </xdr:to>
    <xdr:cxnSp macro="">
      <xdr:nvCxnSpPr>
        <xdr:cNvPr id="244" name="Connector: Elbow 243">
          <a:extLst>
            <a:ext uri="{FF2B5EF4-FFF2-40B4-BE49-F238E27FC236}">
              <a16:creationId xmlns:a16="http://schemas.microsoft.com/office/drawing/2014/main" id="{D25C8BA4-5E4B-4810-A7BE-64B3803D7780}"/>
            </a:ext>
          </a:extLst>
        </xdr:cNvPr>
        <xdr:cNvCxnSpPr>
          <a:stCxn id="230" idx="0"/>
          <a:endCxn id="242" idx="1"/>
        </xdr:cNvCxnSpPr>
      </xdr:nvCxnSpPr>
      <xdr:spPr>
        <a:xfrm rot="5400000" flipH="1" flipV="1">
          <a:off x="6177387" y="5723781"/>
          <a:ext cx="183014" cy="332416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119634</xdr:colOff>
      <xdr:row>13</xdr:row>
      <xdr:rowOff>46723</xdr:rowOff>
    </xdr:from>
    <xdr:to>
      <xdr:col>5</xdr:col>
      <xdr:colOff>247803</xdr:colOff>
      <xdr:row>14</xdr:row>
      <xdr:rowOff>693</xdr:rowOff>
    </xdr:to>
    <xdr:sp macro="" textlink="">
      <xdr:nvSpPr>
        <xdr:cNvPr id="245" name="Arc 244">
          <a:extLst>
            <a:ext uri="{FF2B5EF4-FFF2-40B4-BE49-F238E27FC236}">
              <a16:creationId xmlns:a16="http://schemas.microsoft.com/office/drawing/2014/main" id="{D03C6AAB-DD97-4445-B427-1960696A127D}"/>
            </a:ext>
          </a:extLst>
        </xdr:cNvPr>
        <xdr:cNvSpPr/>
      </xdr:nvSpPr>
      <xdr:spPr>
        <a:xfrm rot="10800000" flipV="1">
          <a:off x="1691259" y="2523223"/>
          <a:ext cx="128169" cy="144470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109487</xdr:colOff>
      <xdr:row>11</xdr:row>
      <xdr:rowOff>47011</xdr:rowOff>
    </xdr:from>
    <xdr:to>
      <xdr:col>5</xdr:col>
      <xdr:colOff>190990</xdr:colOff>
      <xdr:row>34</xdr:row>
      <xdr:rowOff>158485</xdr:rowOff>
    </xdr:to>
    <xdr:grpSp>
      <xdr:nvGrpSpPr>
        <xdr:cNvPr id="246" name="Group 245">
          <a:extLst>
            <a:ext uri="{FF2B5EF4-FFF2-40B4-BE49-F238E27FC236}">
              <a16:creationId xmlns:a16="http://schemas.microsoft.com/office/drawing/2014/main" id="{AC362F99-A0BD-4141-A1B2-019BFD3C8EC8}"/>
            </a:ext>
          </a:extLst>
        </xdr:cNvPr>
        <xdr:cNvGrpSpPr/>
      </xdr:nvGrpSpPr>
      <xdr:grpSpPr>
        <a:xfrm>
          <a:off x="540183" y="2333011"/>
          <a:ext cx="1025720" cy="4459844"/>
          <a:chOff x="560337" y="2028211"/>
          <a:chExt cx="1072103" cy="4200874"/>
        </a:xfrm>
      </xdr:grpSpPr>
      <xdr:cxnSp macro="">
        <xdr:nvCxnSpPr>
          <xdr:cNvPr id="247" name="Connector: Elbow 246">
            <a:extLst>
              <a:ext uri="{FF2B5EF4-FFF2-40B4-BE49-F238E27FC236}">
                <a16:creationId xmlns:a16="http://schemas.microsoft.com/office/drawing/2014/main" id="{FBF32DB7-FEE3-EC58-7CC0-135F77910F0E}"/>
              </a:ext>
            </a:extLst>
          </xdr:cNvPr>
          <xdr:cNvCxnSpPr>
            <a:stCxn id="144" idx="0"/>
          </xdr:cNvCxnSpPr>
        </xdr:nvCxnSpPr>
        <xdr:spPr>
          <a:xfrm rot="16200000" flipV="1">
            <a:off x="-433376" y="4440667"/>
            <a:ext cx="2790831" cy="786006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" name="Connector: Elbow 247">
            <a:extLst>
              <a:ext uri="{FF2B5EF4-FFF2-40B4-BE49-F238E27FC236}">
                <a16:creationId xmlns:a16="http://schemas.microsoft.com/office/drawing/2014/main" id="{5B73498A-69F6-30BA-4F41-DF6D3DF4A044}"/>
              </a:ext>
            </a:extLst>
          </xdr:cNvPr>
          <xdr:cNvCxnSpPr>
            <a:endCxn id="245" idx="2"/>
          </xdr:cNvCxnSpPr>
        </xdr:nvCxnSpPr>
        <xdr:spPr>
          <a:xfrm flipV="1">
            <a:off x="560337" y="2515278"/>
            <a:ext cx="1066200" cy="918551"/>
          </a:xfrm>
          <a:prstGeom prst="bentConnector3">
            <a:avLst>
              <a:gd name="adj1" fmla="val 101817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" name="Connector: Elbow 248">
            <a:extLst>
              <a:ext uri="{FF2B5EF4-FFF2-40B4-BE49-F238E27FC236}">
                <a16:creationId xmlns:a16="http://schemas.microsoft.com/office/drawing/2014/main" id="{AA5B641E-BCE4-78AB-794C-655F78A4C3B9}"/>
              </a:ext>
            </a:extLst>
          </xdr:cNvPr>
          <xdr:cNvCxnSpPr>
            <a:stCxn id="245" idx="0"/>
            <a:endCxn id="38" idx="2"/>
          </xdr:cNvCxnSpPr>
        </xdr:nvCxnSpPr>
        <xdr:spPr>
          <a:xfrm flipV="1">
            <a:off x="1625169" y="2028211"/>
            <a:ext cx="7271" cy="355312"/>
          </a:xfrm>
          <a:prstGeom prst="bentConnector4">
            <a:avLst>
              <a:gd name="adj1" fmla="val 149704"/>
              <a:gd name="adj2" fmla="val 50000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95254</xdr:colOff>
      <xdr:row>12</xdr:row>
      <xdr:rowOff>158752</xdr:rowOff>
    </xdr:from>
    <xdr:to>
      <xdr:col>18</xdr:col>
      <xdr:colOff>181426</xdr:colOff>
      <xdr:row>19</xdr:row>
      <xdr:rowOff>63499</xdr:rowOff>
    </xdr:to>
    <xdr:cxnSp macro="">
      <xdr:nvCxnSpPr>
        <xdr:cNvPr id="250" name="Connector: Elbow 249">
          <a:extLst>
            <a:ext uri="{FF2B5EF4-FFF2-40B4-BE49-F238E27FC236}">
              <a16:creationId xmlns:a16="http://schemas.microsoft.com/office/drawing/2014/main" id="{FDA39730-56AD-4896-8EF5-008B68E709B7}"/>
            </a:ext>
          </a:extLst>
        </xdr:cNvPr>
        <xdr:cNvCxnSpPr/>
      </xdr:nvCxnSpPr>
      <xdr:spPr>
        <a:xfrm rot="16200000" flipH="1">
          <a:off x="4862741" y="2706465"/>
          <a:ext cx="1238247" cy="714822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281746</xdr:colOff>
      <xdr:row>28</xdr:row>
      <xdr:rowOff>176919</xdr:rowOff>
    </xdr:from>
    <xdr:to>
      <xdr:col>16</xdr:col>
      <xdr:colOff>85577</xdr:colOff>
      <xdr:row>29</xdr:row>
      <xdr:rowOff>128073</xdr:rowOff>
    </xdr:to>
    <xdr:sp macro="" textlink="">
      <xdr:nvSpPr>
        <xdr:cNvPr id="251" name="Arc 250">
          <a:extLst>
            <a:ext uri="{FF2B5EF4-FFF2-40B4-BE49-F238E27FC236}">
              <a16:creationId xmlns:a16="http://schemas.microsoft.com/office/drawing/2014/main" id="{CCB09BCD-42AD-4A6F-84B1-76CAF57731A0}"/>
            </a:ext>
          </a:extLst>
        </xdr:cNvPr>
        <xdr:cNvSpPr/>
      </xdr:nvSpPr>
      <xdr:spPr>
        <a:xfrm rot="16200000" flipV="1">
          <a:off x="4984872" y="5522668"/>
          <a:ext cx="141654" cy="118156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18793</xdr:colOff>
      <xdr:row>7</xdr:row>
      <xdr:rowOff>170812</xdr:rowOff>
    </xdr:from>
    <xdr:to>
      <xdr:col>16</xdr:col>
      <xdr:colOff>88900</xdr:colOff>
      <xdr:row>11</xdr:row>
      <xdr:rowOff>158750</xdr:rowOff>
    </xdr:to>
    <xdr:cxnSp macro="">
      <xdr:nvCxnSpPr>
        <xdr:cNvPr id="252" name="Connector: Elbow 251">
          <a:extLst>
            <a:ext uri="{FF2B5EF4-FFF2-40B4-BE49-F238E27FC236}">
              <a16:creationId xmlns:a16="http://schemas.microsoft.com/office/drawing/2014/main" id="{65E5240C-A3BB-4F55-BE0B-3F9A3CD93900}"/>
            </a:ext>
          </a:extLst>
        </xdr:cNvPr>
        <xdr:cNvCxnSpPr>
          <a:endCxn id="25" idx="2"/>
        </xdr:cNvCxnSpPr>
      </xdr:nvCxnSpPr>
      <xdr:spPr>
        <a:xfrm rot="16200000" flipV="1">
          <a:off x="4708078" y="1844227"/>
          <a:ext cx="749938" cy="70107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129330</xdr:colOff>
      <xdr:row>29</xdr:row>
      <xdr:rowOff>64951</xdr:rowOff>
    </xdr:from>
    <xdr:to>
      <xdr:col>15</xdr:col>
      <xdr:colOff>281763</xdr:colOff>
      <xdr:row>34</xdr:row>
      <xdr:rowOff>132030</xdr:rowOff>
    </xdr:to>
    <xdr:cxnSp macro="">
      <xdr:nvCxnSpPr>
        <xdr:cNvPr id="253" name="Connector: Elbow 252">
          <a:extLst>
            <a:ext uri="{FF2B5EF4-FFF2-40B4-BE49-F238E27FC236}">
              <a16:creationId xmlns:a16="http://schemas.microsoft.com/office/drawing/2014/main" id="{D6887995-18B6-4BF5-A2F1-1EAFF945BA01}"/>
            </a:ext>
          </a:extLst>
        </xdr:cNvPr>
        <xdr:cNvCxnSpPr>
          <a:stCxn id="251" idx="2"/>
          <a:endCxn id="158" idx="0"/>
        </xdr:cNvCxnSpPr>
      </xdr:nvCxnSpPr>
      <xdr:spPr>
        <a:xfrm rot="5400000">
          <a:off x="4410632" y="6023024"/>
          <a:ext cx="1019579" cy="152433"/>
        </a:xfrm>
        <a:prstGeom prst="bentConnector3">
          <a:avLst>
            <a:gd name="adj1" fmla="val 38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19077</xdr:colOff>
      <xdr:row>11</xdr:row>
      <xdr:rowOff>174754</xdr:rowOff>
    </xdr:from>
    <xdr:to>
      <xdr:col>16</xdr:col>
      <xdr:colOff>148031</xdr:colOff>
      <xdr:row>12</xdr:row>
      <xdr:rowOff>129491</xdr:rowOff>
    </xdr:to>
    <xdr:sp macro="" textlink="">
      <xdr:nvSpPr>
        <xdr:cNvPr id="254" name="Arc 253">
          <a:extLst>
            <a:ext uri="{FF2B5EF4-FFF2-40B4-BE49-F238E27FC236}">
              <a16:creationId xmlns:a16="http://schemas.microsoft.com/office/drawing/2014/main" id="{56383AF6-81ED-4108-9967-82501A77292D}"/>
            </a:ext>
          </a:extLst>
        </xdr:cNvPr>
        <xdr:cNvSpPr/>
      </xdr:nvSpPr>
      <xdr:spPr>
        <a:xfrm flipV="1">
          <a:off x="5048277" y="2270254"/>
          <a:ext cx="128954" cy="145237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126981</xdr:colOff>
      <xdr:row>40</xdr:row>
      <xdr:rowOff>68475</xdr:rowOff>
    </xdr:from>
    <xdr:to>
      <xdr:col>19</xdr:col>
      <xdr:colOff>265579</xdr:colOff>
      <xdr:row>42</xdr:row>
      <xdr:rowOff>10794</xdr:rowOff>
    </xdr:to>
    <xdr:grpSp>
      <xdr:nvGrpSpPr>
        <xdr:cNvPr id="255" name="Group 254">
          <a:extLst>
            <a:ext uri="{FF2B5EF4-FFF2-40B4-BE49-F238E27FC236}">
              <a16:creationId xmlns:a16="http://schemas.microsoft.com/office/drawing/2014/main" id="{AE884148-3395-4995-BD91-B28DE15854C1}"/>
            </a:ext>
          </a:extLst>
        </xdr:cNvPr>
        <xdr:cNvGrpSpPr/>
      </xdr:nvGrpSpPr>
      <xdr:grpSpPr>
        <a:xfrm>
          <a:off x="5278764" y="7920388"/>
          <a:ext cx="768076" cy="356449"/>
          <a:chOff x="2013862" y="4128465"/>
          <a:chExt cx="752288" cy="275885"/>
        </a:xfrm>
      </xdr:grpSpPr>
      <xdr:grpSp>
        <xdr:nvGrpSpPr>
          <xdr:cNvPr id="256" name="Group 255">
            <a:extLst>
              <a:ext uri="{FF2B5EF4-FFF2-40B4-BE49-F238E27FC236}">
                <a16:creationId xmlns:a16="http://schemas.microsoft.com/office/drawing/2014/main" id="{3A9894CA-5BED-21D0-A76C-C46F25242EF5}"/>
              </a:ext>
            </a:extLst>
          </xdr:cNvPr>
          <xdr:cNvGrpSpPr/>
        </xdr:nvGrpSpPr>
        <xdr:grpSpPr>
          <a:xfrm>
            <a:off x="2321562" y="4128465"/>
            <a:ext cx="444588" cy="275687"/>
            <a:chOff x="2059356" y="3109972"/>
            <a:chExt cx="446477" cy="266878"/>
          </a:xfrm>
        </xdr:grpSpPr>
        <xdr:sp macro="" textlink="">
          <xdr:nvSpPr>
            <xdr:cNvPr id="258" name="Rectangle 257">
              <a:extLst>
                <a:ext uri="{FF2B5EF4-FFF2-40B4-BE49-F238E27FC236}">
                  <a16:creationId xmlns:a16="http://schemas.microsoft.com/office/drawing/2014/main" id="{52709140-48E1-2EB8-1CD9-6F0FC9148B50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9" name="Rectangle 258">
              <a:extLst>
                <a:ext uri="{FF2B5EF4-FFF2-40B4-BE49-F238E27FC236}">
                  <a16:creationId xmlns:a16="http://schemas.microsoft.com/office/drawing/2014/main" id="{FDAF545B-AF10-B074-C24A-2475EA5B58F3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0" name="Rectangle 259">
              <a:extLst>
                <a:ext uri="{FF2B5EF4-FFF2-40B4-BE49-F238E27FC236}">
                  <a16:creationId xmlns:a16="http://schemas.microsoft.com/office/drawing/2014/main" id="{CCC9BE7A-D38F-3FDB-B7C3-4DF7E270E533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1" name="Rectangle 260">
              <a:extLst>
                <a:ext uri="{FF2B5EF4-FFF2-40B4-BE49-F238E27FC236}">
                  <a16:creationId xmlns:a16="http://schemas.microsoft.com/office/drawing/2014/main" id="{6D3879C3-39F2-63F9-613B-88976AB7B7E3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2" name="Rectangle 261">
              <a:extLst>
                <a:ext uri="{FF2B5EF4-FFF2-40B4-BE49-F238E27FC236}">
                  <a16:creationId xmlns:a16="http://schemas.microsoft.com/office/drawing/2014/main" id="{DBBE0BD3-C7B5-1B92-81AA-DDE0480B8CF0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57" name="TextBox 256">
            <a:extLst>
              <a:ext uri="{FF2B5EF4-FFF2-40B4-BE49-F238E27FC236}">
                <a16:creationId xmlns:a16="http://schemas.microsoft.com/office/drawing/2014/main" id="{F8E1A37E-80F7-8602-062A-5D673B9608D8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20</a:t>
            </a:r>
          </a:p>
        </xdr:txBody>
      </xdr:sp>
    </xdr:grpSp>
    <xdr:clientData/>
  </xdr:twoCellAnchor>
  <xdr:twoCellAnchor>
    <xdr:from>
      <xdr:col>17</xdr:col>
      <xdr:colOff>309637</xdr:colOff>
      <xdr:row>44</xdr:row>
      <xdr:rowOff>4989</xdr:rowOff>
    </xdr:from>
    <xdr:to>
      <xdr:col>19</xdr:col>
      <xdr:colOff>226480</xdr:colOff>
      <xdr:row>45</xdr:row>
      <xdr:rowOff>126223</xdr:rowOff>
    </xdr:to>
    <xdr:grpSp>
      <xdr:nvGrpSpPr>
        <xdr:cNvPr id="263" name="Group 262">
          <a:extLst>
            <a:ext uri="{FF2B5EF4-FFF2-40B4-BE49-F238E27FC236}">
              <a16:creationId xmlns:a16="http://schemas.microsoft.com/office/drawing/2014/main" id="{55FF1A71-D21E-44FA-BBED-6DC43EDA018D}"/>
            </a:ext>
          </a:extLst>
        </xdr:cNvPr>
        <xdr:cNvGrpSpPr/>
      </xdr:nvGrpSpPr>
      <xdr:grpSpPr>
        <a:xfrm>
          <a:off x="5461420" y="8685163"/>
          <a:ext cx="546321" cy="328299"/>
          <a:chOff x="5726422" y="6287054"/>
          <a:chExt cx="555904" cy="296325"/>
        </a:xfrm>
      </xdr:grpSpPr>
      <xdr:sp macro="" textlink="">
        <xdr:nvSpPr>
          <xdr:cNvPr id="264" name="Rectangle 263">
            <a:extLst>
              <a:ext uri="{FF2B5EF4-FFF2-40B4-BE49-F238E27FC236}">
                <a16:creationId xmlns:a16="http://schemas.microsoft.com/office/drawing/2014/main" id="{E6D320CF-FE8F-5079-EADC-6A3FEFA3CE82}"/>
              </a:ext>
            </a:extLst>
          </xdr:cNvPr>
          <xdr:cNvSpPr/>
        </xdr:nvSpPr>
        <xdr:spPr>
          <a:xfrm>
            <a:off x="6052891" y="6287054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528B4E91-C993-1743-7ABE-B86FC646AAF8}"/>
              </a:ext>
            </a:extLst>
          </xdr:cNvPr>
          <xdr:cNvSpPr txBox="1"/>
        </xdr:nvSpPr>
        <xdr:spPr>
          <a:xfrm>
            <a:off x="5726422" y="6290828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27</a:t>
            </a:r>
          </a:p>
        </xdr:txBody>
      </xdr:sp>
    </xdr:grpSp>
    <xdr:clientData/>
  </xdr:twoCellAnchor>
  <xdr:twoCellAnchor>
    <xdr:from>
      <xdr:col>20</xdr:col>
      <xdr:colOff>119045</xdr:colOff>
      <xdr:row>44</xdr:row>
      <xdr:rowOff>8404</xdr:rowOff>
    </xdr:from>
    <xdr:to>
      <xdr:col>21</xdr:col>
      <xdr:colOff>344995</xdr:colOff>
      <xdr:row>45</xdr:row>
      <xdr:rowOff>130192</xdr:rowOff>
    </xdr:to>
    <xdr:grpSp>
      <xdr:nvGrpSpPr>
        <xdr:cNvPr id="266" name="Group 265">
          <a:extLst>
            <a:ext uri="{FF2B5EF4-FFF2-40B4-BE49-F238E27FC236}">
              <a16:creationId xmlns:a16="http://schemas.microsoft.com/office/drawing/2014/main" id="{37107C72-F2B5-489E-92C6-26E26F0BD8D7}"/>
            </a:ext>
          </a:extLst>
        </xdr:cNvPr>
        <xdr:cNvGrpSpPr/>
      </xdr:nvGrpSpPr>
      <xdr:grpSpPr>
        <a:xfrm>
          <a:off x="6215045" y="8688578"/>
          <a:ext cx="540689" cy="328853"/>
          <a:chOff x="6504297" y="6290469"/>
          <a:chExt cx="555357" cy="296879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42667C83-DEF5-7AB1-E43A-7B711CBCC4BF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28</a:t>
            </a:r>
          </a:p>
        </xdr:txBody>
      </xdr:sp>
      <xdr:sp macro="" textlink="">
        <xdr:nvSpPr>
          <xdr:cNvPr id="268" name="Rectangle 267">
            <a:extLst>
              <a:ext uri="{FF2B5EF4-FFF2-40B4-BE49-F238E27FC236}">
                <a16:creationId xmlns:a16="http://schemas.microsoft.com/office/drawing/2014/main" id="{CA7EAE33-921E-1546-A4E1-137BEEB8230D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164562</xdr:colOff>
      <xdr:row>42</xdr:row>
      <xdr:rowOff>10530</xdr:rowOff>
    </xdr:from>
    <xdr:to>
      <xdr:col>18</xdr:col>
      <xdr:colOff>265360</xdr:colOff>
      <xdr:row>44</xdr:row>
      <xdr:rowOff>8763</xdr:rowOff>
    </xdr:to>
    <xdr:cxnSp macro="">
      <xdr:nvCxnSpPr>
        <xdr:cNvPr id="269" name="Connector: Elbow 268">
          <a:extLst>
            <a:ext uri="{FF2B5EF4-FFF2-40B4-BE49-F238E27FC236}">
              <a16:creationId xmlns:a16="http://schemas.microsoft.com/office/drawing/2014/main" id="{19886C47-4EDF-4EFC-AEC9-5A8350CCEA50}"/>
            </a:ext>
          </a:extLst>
        </xdr:cNvPr>
        <xdr:cNvCxnSpPr>
          <a:stCxn id="259" idx="2"/>
          <a:endCxn id="265" idx="0"/>
        </xdr:cNvCxnSpPr>
      </xdr:nvCxnSpPr>
      <xdr:spPr>
        <a:xfrm rot="5400000">
          <a:off x="5683194" y="8150748"/>
          <a:ext cx="379233" cy="100798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30666</xdr:colOff>
      <xdr:row>42</xdr:row>
      <xdr:rowOff>10530</xdr:rowOff>
    </xdr:from>
    <xdr:to>
      <xdr:col>20</xdr:col>
      <xdr:colOff>283626</xdr:colOff>
      <xdr:row>44</xdr:row>
      <xdr:rowOff>12732</xdr:rowOff>
    </xdr:to>
    <xdr:cxnSp macro="">
      <xdr:nvCxnSpPr>
        <xdr:cNvPr id="270" name="Connector: Elbow 269">
          <a:extLst>
            <a:ext uri="{FF2B5EF4-FFF2-40B4-BE49-F238E27FC236}">
              <a16:creationId xmlns:a16="http://schemas.microsoft.com/office/drawing/2014/main" id="{92635510-9C62-4EBA-9669-51474D648B77}"/>
            </a:ext>
          </a:extLst>
        </xdr:cNvPr>
        <xdr:cNvCxnSpPr>
          <a:stCxn id="267" idx="0"/>
          <a:endCxn id="260" idx="2"/>
        </xdr:cNvCxnSpPr>
      </xdr:nvCxnSpPr>
      <xdr:spPr>
        <a:xfrm rot="16200000" flipV="1">
          <a:off x="6094883" y="7919488"/>
          <a:ext cx="383202" cy="567285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141132</xdr:colOff>
      <xdr:row>38</xdr:row>
      <xdr:rowOff>102276</xdr:rowOff>
    </xdr:from>
    <xdr:to>
      <xdr:col>21</xdr:col>
      <xdr:colOff>367082</xdr:colOff>
      <xdr:row>40</xdr:row>
      <xdr:rowOff>45419</xdr:rowOff>
    </xdr:to>
    <xdr:grpSp>
      <xdr:nvGrpSpPr>
        <xdr:cNvPr id="271" name="Group 270">
          <a:extLst>
            <a:ext uri="{FF2B5EF4-FFF2-40B4-BE49-F238E27FC236}">
              <a16:creationId xmlns:a16="http://schemas.microsoft.com/office/drawing/2014/main" id="{2C72512C-A8A9-4460-8D01-35AE28394D4D}"/>
            </a:ext>
          </a:extLst>
        </xdr:cNvPr>
        <xdr:cNvGrpSpPr/>
      </xdr:nvGrpSpPr>
      <xdr:grpSpPr>
        <a:xfrm>
          <a:off x="6237132" y="7540059"/>
          <a:ext cx="540689" cy="357273"/>
          <a:chOff x="6504297" y="6290469"/>
          <a:chExt cx="555357" cy="296879"/>
        </a:xfrm>
      </xdr:grpSpPr>
      <xdr:sp macro="" textlink="">
        <xdr:nvSpPr>
          <xdr:cNvPr id="272" name="TextBox 271">
            <a:extLst>
              <a:ext uri="{FF2B5EF4-FFF2-40B4-BE49-F238E27FC236}">
                <a16:creationId xmlns:a16="http://schemas.microsoft.com/office/drawing/2014/main" id="{E0849E0A-7BDE-AD10-02C1-16D45BCB720C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26</a:t>
            </a:r>
          </a:p>
        </xdr:txBody>
      </xdr:sp>
      <xdr:sp macro="" textlink="">
        <xdr:nvSpPr>
          <xdr:cNvPr id="273" name="Rectangle 272">
            <a:extLst>
              <a:ext uri="{FF2B5EF4-FFF2-40B4-BE49-F238E27FC236}">
                <a16:creationId xmlns:a16="http://schemas.microsoft.com/office/drawing/2014/main" id="{76D907CA-83D7-0E84-EADD-75F453258267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123040</xdr:colOff>
      <xdr:row>39</xdr:row>
      <xdr:rowOff>76011</xdr:rowOff>
    </xdr:from>
    <xdr:to>
      <xdr:col>20</xdr:col>
      <xdr:colOff>141131</xdr:colOff>
      <xdr:row>40</xdr:row>
      <xdr:rowOff>68525</xdr:rowOff>
    </xdr:to>
    <xdr:cxnSp macro="">
      <xdr:nvCxnSpPr>
        <xdr:cNvPr id="274" name="Connector: Elbow 273">
          <a:extLst>
            <a:ext uri="{FF2B5EF4-FFF2-40B4-BE49-F238E27FC236}">
              <a16:creationId xmlns:a16="http://schemas.microsoft.com/office/drawing/2014/main" id="{46F9C1B9-976B-4799-9557-E4110F03D89C}"/>
            </a:ext>
          </a:extLst>
        </xdr:cNvPr>
        <xdr:cNvCxnSpPr>
          <a:stCxn id="261" idx="0"/>
          <a:endCxn id="272" idx="1"/>
        </xdr:cNvCxnSpPr>
      </xdr:nvCxnSpPr>
      <xdr:spPr>
        <a:xfrm rot="5400000" flipH="1" flipV="1">
          <a:off x="6169916" y="7430810"/>
          <a:ext cx="183014" cy="332416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161632</xdr:colOff>
      <xdr:row>36</xdr:row>
      <xdr:rowOff>67783</xdr:rowOff>
    </xdr:from>
    <xdr:to>
      <xdr:col>18</xdr:col>
      <xdr:colOff>170595</xdr:colOff>
      <xdr:row>40</xdr:row>
      <xdr:rowOff>68475</xdr:rowOff>
    </xdr:to>
    <xdr:cxnSp macro="">
      <xdr:nvCxnSpPr>
        <xdr:cNvPr id="275" name="Connector: Elbow 274">
          <a:extLst>
            <a:ext uri="{FF2B5EF4-FFF2-40B4-BE49-F238E27FC236}">
              <a16:creationId xmlns:a16="http://schemas.microsoft.com/office/drawing/2014/main" id="{B90474FE-DF42-4AC9-AA18-665A146A2474}"/>
            </a:ext>
          </a:extLst>
        </xdr:cNvPr>
        <xdr:cNvCxnSpPr>
          <a:stCxn id="162" idx="2"/>
          <a:endCxn id="258" idx="0"/>
        </xdr:cNvCxnSpPr>
      </xdr:nvCxnSpPr>
      <xdr:spPr>
        <a:xfrm rot="16200000" flipH="1">
          <a:off x="5128293" y="6988322"/>
          <a:ext cx="762692" cy="637613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119510</xdr:colOff>
      <xdr:row>48</xdr:row>
      <xdr:rowOff>1239</xdr:rowOff>
    </xdr:from>
    <xdr:to>
      <xdr:col>19</xdr:col>
      <xdr:colOff>258108</xdr:colOff>
      <xdr:row>49</xdr:row>
      <xdr:rowOff>122852</xdr:rowOff>
    </xdr:to>
    <xdr:grpSp>
      <xdr:nvGrpSpPr>
        <xdr:cNvPr id="276" name="Group 275">
          <a:extLst>
            <a:ext uri="{FF2B5EF4-FFF2-40B4-BE49-F238E27FC236}">
              <a16:creationId xmlns:a16="http://schemas.microsoft.com/office/drawing/2014/main" id="{1CECE311-4615-40C6-A441-AA589F91620A}"/>
            </a:ext>
          </a:extLst>
        </xdr:cNvPr>
        <xdr:cNvGrpSpPr/>
      </xdr:nvGrpSpPr>
      <xdr:grpSpPr>
        <a:xfrm>
          <a:off x="5271293" y="9509674"/>
          <a:ext cx="768076" cy="328678"/>
          <a:chOff x="2013862" y="4128465"/>
          <a:chExt cx="752288" cy="275885"/>
        </a:xfrm>
      </xdr:grpSpPr>
      <xdr:grpSp>
        <xdr:nvGrpSpPr>
          <xdr:cNvPr id="277" name="Group 276">
            <a:extLst>
              <a:ext uri="{FF2B5EF4-FFF2-40B4-BE49-F238E27FC236}">
                <a16:creationId xmlns:a16="http://schemas.microsoft.com/office/drawing/2014/main" id="{D3184330-A1AC-7E44-B953-4ECB1BCC34FB}"/>
              </a:ext>
            </a:extLst>
          </xdr:cNvPr>
          <xdr:cNvGrpSpPr/>
        </xdr:nvGrpSpPr>
        <xdr:grpSpPr>
          <a:xfrm>
            <a:off x="2321562" y="4128465"/>
            <a:ext cx="444588" cy="275687"/>
            <a:chOff x="2059356" y="3109972"/>
            <a:chExt cx="446477" cy="266878"/>
          </a:xfrm>
        </xdr:grpSpPr>
        <xdr:sp macro="" textlink="">
          <xdr:nvSpPr>
            <xdr:cNvPr id="279" name="Rectangle 278">
              <a:extLst>
                <a:ext uri="{FF2B5EF4-FFF2-40B4-BE49-F238E27FC236}">
                  <a16:creationId xmlns:a16="http://schemas.microsoft.com/office/drawing/2014/main" id="{A9B936AD-03C4-699C-5E18-7BB1F2381349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0" name="Rectangle 279">
              <a:extLst>
                <a:ext uri="{FF2B5EF4-FFF2-40B4-BE49-F238E27FC236}">
                  <a16:creationId xmlns:a16="http://schemas.microsoft.com/office/drawing/2014/main" id="{4E0684CE-B416-A608-A2A0-5448C3AA8631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1" name="Rectangle 280">
              <a:extLst>
                <a:ext uri="{FF2B5EF4-FFF2-40B4-BE49-F238E27FC236}">
                  <a16:creationId xmlns:a16="http://schemas.microsoft.com/office/drawing/2014/main" id="{C65A2B27-FEDC-1E10-3CB0-62971960FFF0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2" name="Rectangle 281">
              <a:extLst>
                <a:ext uri="{FF2B5EF4-FFF2-40B4-BE49-F238E27FC236}">
                  <a16:creationId xmlns:a16="http://schemas.microsoft.com/office/drawing/2014/main" id="{24A46AEA-ED1F-7E74-9F79-640BD58871A2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3" name="Rectangle 282">
              <a:extLst>
                <a:ext uri="{FF2B5EF4-FFF2-40B4-BE49-F238E27FC236}">
                  <a16:creationId xmlns:a16="http://schemas.microsoft.com/office/drawing/2014/main" id="{97FF59CC-8321-5BC4-D548-D06BC5F977CB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78" name="TextBox 277">
            <a:extLst>
              <a:ext uri="{FF2B5EF4-FFF2-40B4-BE49-F238E27FC236}">
                <a16:creationId xmlns:a16="http://schemas.microsoft.com/office/drawing/2014/main" id="{9B6AC8EC-8CB3-DB70-BC4A-B38FABE36C3F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29</a:t>
            </a:r>
          </a:p>
        </xdr:txBody>
      </xdr:sp>
    </xdr:grpSp>
    <xdr:clientData/>
  </xdr:twoCellAnchor>
  <xdr:twoCellAnchor>
    <xdr:from>
      <xdr:col>17</xdr:col>
      <xdr:colOff>311691</xdr:colOff>
      <xdr:row>51</xdr:row>
      <xdr:rowOff>102106</xdr:rowOff>
    </xdr:from>
    <xdr:to>
      <xdr:col>19</xdr:col>
      <xdr:colOff>219009</xdr:colOff>
      <xdr:row>53</xdr:row>
      <xdr:rowOff>36576</xdr:rowOff>
    </xdr:to>
    <xdr:grpSp>
      <xdr:nvGrpSpPr>
        <xdr:cNvPr id="284" name="Group 283">
          <a:extLst>
            <a:ext uri="{FF2B5EF4-FFF2-40B4-BE49-F238E27FC236}">
              <a16:creationId xmlns:a16="http://schemas.microsoft.com/office/drawing/2014/main" id="{CA57CD9D-B7D8-4763-B1BE-A7F83185DBDB}"/>
            </a:ext>
          </a:extLst>
        </xdr:cNvPr>
        <xdr:cNvGrpSpPr/>
      </xdr:nvGrpSpPr>
      <xdr:grpSpPr>
        <a:xfrm>
          <a:off x="5463474" y="10182041"/>
          <a:ext cx="536796" cy="348600"/>
          <a:chOff x="5726422" y="6287054"/>
          <a:chExt cx="555904" cy="296325"/>
        </a:xfrm>
      </xdr:grpSpPr>
      <xdr:sp macro="" textlink="">
        <xdr:nvSpPr>
          <xdr:cNvPr id="285" name="Rectangle 284">
            <a:extLst>
              <a:ext uri="{FF2B5EF4-FFF2-40B4-BE49-F238E27FC236}">
                <a16:creationId xmlns:a16="http://schemas.microsoft.com/office/drawing/2014/main" id="{D37CD103-89E0-DBD5-AA11-3C2B7DBA38B2}"/>
              </a:ext>
            </a:extLst>
          </xdr:cNvPr>
          <xdr:cNvSpPr/>
        </xdr:nvSpPr>
        <xdr:spPr>
          <a:xfrm>
            <a:off x="6052891" y="6287054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ADAA23A6-B1BC-D6AB-5054-EC215AC42694}"/>
              </a:ext>
            </a:extLst>
          </xdr:cNvPr>
          <xdr:cNvSpPr txBox="1"/>
        </xdr:nvSpPr>
        <xdr:spPr>
          <a:xfrm>
            <a:off x="5726422" y="6290828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36</a:t>
            </a:r>
          </a:p>
        </xdr:txBody>
      </xdr:sp>
    </xdr:grpSp>
    <xdr:clientData/>
  </xdr:twoCellAnchor>
  <xdr:twoCellAnchor>
    <xdr:from>
      <xdr:col>20</xdr:col>
      <xdr:colOff>111574</xdr:colOff>
      <xdr:row>51</xdr:row>
      <xdr:rowOff>105521</xdr:rowOff>
    </xdr:from>
    <xdr:to>
      <xdr:col>21</xdr:col>
      <xdr:colOff>337524</xdr:colOff>
      <xdr:row>53</xdr:row>
      <xdr:rowOff>40545</xdr:rowOff>
    </xdr:to>
    <xdr:grpSp>
      <xdr:nvGrpSpPr>
        <xdr:cNvPr id="287" name="Group 286">
          <a:extLst>
            <a:ext uri="{FF2B5EF4-FFF2-40B4-BE49-F238E27FC236}">
              <a16:creationId xmlns:a16="http://schemas.microsoft.com/office/drawing/2014/main" id="{40102DAB-8964-4589-A320-09DFC47994A0}"/>
            </a:ext>
          </a:extLst>
        </xdr:cNvPr>
        <xdr:cNvGrpSpPr/>
      </xdr:nvGrpSpPr>
      <xdr:grpSpPr>
        <a:xfrm>
          <a:off x="6207574" y="10185456"/>
          <a:ext cx="540689" cy="349154"/>
          <a:chOff x="6504297" y="6290469"/>
          <a:chExt cx="555357" cy="296879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38CDAC87-B822-55CF-E104-1C393EE54D81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37</a:t>
            </a:r>
          </a:p>
        </xdr:txBody>
      </xdr:sp>
      <xdr:sp macro="" textlink="">
        <xdr:nvSpPr>
          <xdr:cNvPr id="289" name="Rectangle 288">
            <a:extLst>
              <a:ext uri="{FF2B5EF4-FFF2-40B4-BE49-F238E27FC236}">
                <a16:creationId xmlns:a16="http://schemas.microsoft.com/office/drawing/2014/main" id="{D80D34F7-0773-F532-8E4D-8CA81D82EA4E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157091</xdr:colOff>
      <xdr:row>49</xdr:row>
      <xdr:rowOff>122588</xdr:rowOff>
    </xdr:from>
    <xdr:to>
      <xdr:col>18</xdr:col>
      <xdr:colOff>257889</xdr:colOff>
      <xdr:row>51</xdr:row>
      <xdr:rowOff>105880</xdr:rowOff>
    </xdr:to>
    <xdr:cxnSp macro="">
      <xdr:nvCxnSpPr>
        <xdr:cNvPr id="290" name="Connector: Elbow 289">
          <a:extLst>
            <a:ext uri="{FF2B5EF4-FFF2-40B4-BE49-F238E27FC236}">
              <a16:creationId xmlns:a16="http://schemas.microsoft.com/office/drawing/2014/main" id="{DDB6EEAA-7D01-421E-99B7-C29822139B5A}"/>
            </a:ext>
          </a:extLst>
        </xdr:cNvPr>
        <xdr:cNvCxnSpPr>
          <a:stCxn id="280" idx="2"/>
          <a:endCxn id="286" idx="0"/>
        </xdr:cNvCxnSpPr>
      </xdr:nvCxnSpPr>
      <xdr:spPr>
        <a:xfrm rot="5400000">
          <a:off x="5683194" y="9588835"/>
          <a:ext cx="364292" cy="100798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23195</xdr:colOff>
      <xdr:row>49</xdr:row>
      <xdr:rowOff>122588</xdr:rowOff>
    </xdr:from>
    <xdr:to>
      <xdr:col>20</xdr:col>
      <xdr:colOff>276155</xdr:colOff>
      <xdr:row>51</xdr:row>
      <xdr:rowOff>109849</xdr:rowOff>
    </xdr:to>
    <xdr:cxnSp macro="">
      <xdr:nvCxnSpPr>
        <xdr:cNvPr id="291" name="Connector: Elbow 290">
          <a:extLst>
            <a:ext uri="{FF2B5EF4-FFF2-40B4-BE49-F238E27FC236}">
              <a16:creationId xmlns:a16="http://schemas.microsoft.com/office/drawing/2014/main" id="{37A7A353-9302-4075-A94C-DBD9B21CE2DF}"/>
            </a:ext>
          </a:extLst>
        </xdr:cNvPr>
        <xdr:cNvCxnSpPr>
          <a:stCxn id="288" idx="0"/>
          <a:endCxn id="281" idx="2"/>
        </xdr:cNvCxnSpPr>
      </xdr:nvCxnSpPr>
      <xdr:spPr>
        <a:xfrm rot="16200000" flipV="1">
          <a:off x="6094882" y="9357576"/>
          <a:ext cx="368261" cy="567285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133661</xdr:colOff>
      <xdr:row>46</xdr:row>
      <xdr:rowOff>35040</xdr:rowOff>
    </xdr:from>
    <xdr:to>
      <xdr:col>21</xdr:col>
      <xdr:colOff>359611</xdr:colOff>
      <xdr:row>47</xdr:row>
      <xdr:rowOff>157477</xdr:rowOff>
    </xdr:to>
    <xdr:grpSp>
      <xdr:nvGrpSpPr>
        <xdr:cNvPr id="292" name="Group 291">
          <a:extLst>
            <a:ext uri="{FF2B5EF4-FFF2-40B4-BE49-F238E27FC236}">
              <a16:creationId xmlns:a16="http://schemas.microsoft.com/office/drawing/2014/main" id="{A51FD9A1-3D15-4F55-8148-2CF9F6A1D163}"/>
            </a:ext>
          </a:extLst>
        </xdr:cNvPr>
        <xdr:cNvGrpSpPr/>
      </xdr:nvGrpSpPr>
      <xdr:grpSpPr>
        <a:xfrm>
          <a:off x="6229661" y="9129344"/>
          <a:ext cx="540689" cy="329503"/>
          <a:chOff x="6504297" y="6290469"/>
          <a:chExt cx="555357" cy="296879"/>
        </a:xfrm>
      </xdr:grpSpPr>
      <xdr:sp macro="" textlink="">
        <xdr:nvSpPr>
          <xdr:cNvPr id="293" name="TextBox 292">
            <a:extLst>
              <a:ext uri="{FF2B5EF4-FFF2-40B4-BE49-F238E27FC236}">
                <a16:creationId xmlns:a16="http://schemas.microsoft.com/office/drawing/2014/main" id="{2BAE2D85-9AF2-E72A-C185-FB70D661E5D4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35</a:t>
            </a:r>
          </a:p>
        </xdr:txBody>
      </xdr:sp>
      <xdr:sp macro="" textlink="">
        <xdr:nvSpPr>
          <xdr:cNvPr id="294" name="Rectangle 293">
            <a:extLst>
              <a:ext uri="{FF2B5EF4-FFF2-40B4-BE49-F238E27FC236}">
                <a16:creationId xmlns:a16="http://schemas.microsoft.com/office/drawing/2014/main" id="{FDA89B89-5561-2155-DBB5-8BED34537F69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115569</xdr:colOff>
      <xdr:row>47</xdr:row>
      <xdr:rowOff>8775</xdr:rowOff>
    </xdr:from>
    <xdr:to>
      <xdr:col>20</xdr:col>
      <xdr:colOff>133660</xdr:colOff>
      <xdr:row>48</xdr:row>
      <xdr:rowOff>1289</xdr:rowOff>
    </xdr:to>
    <xdr:cxnSp macro="">
      <xdr:nvCxnSpPr>
        <xdr:cNvPr id="295" name="Connector: Elbow 294">
          <a:extLst>
            <a:ext uri="{FF2B5EF4-FFF2-40B4-BE49-F238E27FC236}">
              <a16:creationId xmlns:a16="http://schemas.microsoft.com/office/drawing/2014/main" id="{A9408432-90ED-4F29-9327-6559E1BD1942}"/>
            </a:ext>
          </a:extLst>
        </xdr:cNvPr>
        <xdr:cNvCxnSpPr>
          <a:stCxn id="282" idx="0"/>
          <a:endCxn id="293" idx="1"/>
        </xdr:cNvCxnSpPr>
      </xdr:nvCxnSpPr>
      <xdr:spPr>
        <a:xfrm rot="5400000" flipH="1" flipV="1">
          <a:off x="6162445" y="8887574"/>
          <a:ext cx="183014" cy="332416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78782</xdr:colOff>
      <xdr:row>45</xdr:row>
      <xdr:rowOff>112183</xdr:rowOff>
    </xdr:from>
    <xdr:to>
      <xdr:col>18</xdr:col>
      <xdr:colOff>163223</xdr:colOff>
      <xdr:row>48</xdr:row>
      <xdr:rowOff>1239</xdr:rowOff>
    </xdr:to>
    <xdr:cxnSp macro="">
      <xdr:nvCxnSpPr>
        <xdr:cNvPr id="296" name="Connector: Elbow 295">
          <a:extLst>
            <a:ext uri="{FF2B5EF4-FFF2-40B4-BE49-F238E27FC236}">
              <a16:creationId xmlns:a16="http://schemas.microsoft.com/office/drawing/2014/main" id="{D7A4901A-7094-4DCB-AAF7-A48AA4A3090B}"/>
            </a:ext>
          </a:extLst>
        </xdr:cNvPr>
        <xdr:cNvCxnSpPr>
          <a:stCxn id="203" idx="2"/>
          <a:endCxn id="279" idx="0"/>
        </xdr:cNvCxnSpPr>
      </xdr:nvCxnSpPr>
      <xdr:spPr>
        <a:xfrm rot="16200000" flipH="1">
          <a:off x="5077087" y="8401253"/>
          <a:ext cx="460556" cy="1027416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221838</xdr:colOff>
      <xdr:row>36</xdr:row>
      <xdr:rowOff>67733</xdr:rowOff>
    </xdr:from>
    <xdr:to>
      <xdr:col>16</xdr:col>
      <xdr:colOff>110834</xdr:colOff>
      <xdr:row>43</xdr:row>
      <xdr:rowOff>170178</xdr:rowOff>
    </xdr:to>
    <xdr:cxnSp macro="">
      <xdr:nvCxnSpPr>
        <xdr:cNvPr id="297" name="Connector: Elbow 296">
          <a:extLst>
            <a:ext uri="{FF2B5EF4-FFF2-40B4-BE49-F238E27FC236}">
              <a16:creationId xmlns:a16="http://schemas.microsoft.com/office/drawing/2014/main" id="{28BBC4FC-6FE1-47AD-8240-9036F90AB58C}"/>
            </a:ext>
          </a:extLst>
        </xdr:cNvPr>
        <xdr:cNvCxnSpPr>
          <a:stCxn id="159" idx="2"/>
          <a:endCxn id="207" idx="0"/>
        </xdr:cNvCxnSpPr>
      </xdr:nvCxnSpPr>
      <xdr:spPr>
        <a:xfrm rot="16200000" flipH="1">
          <a:off x="4320401" y="7542045"/>
          <a:ext cx="1435945" cy="203321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69851</xdr:colOff>
      <xdr:row>32</xdr:row>
      <xdr:rowOff>128450</xdr:rowOff>
    </xdr:from>
    <xdr:to>
      <xdr:col>4</xdr:col>
      <xdr:colOff>180163</xdr:colOff>
      <xdr:row>39</xdr:row>
      <xdr:rowOff>38099</xdr:rowOff>
    </xdr:to>
    <xdr:cxnSp macro="">
      <xdr:nvCxnSpPr>
        <xdr:cNvPr id="298" name="Connector: Elbow 297">
          <a:extLst>
            <a:ext uri="{FF2B5EF4-FFF2-40B4-BE49-F238E27FC236}">
              <a16:creationId xmlns:a16="http://schemas.microsoft.com/office/drawing/2014/main" id="{5B1BF585-BC21-4E35-840E-0F51354B7264}"/>
            </a:ext>
          </a:extLst>
        </xdr:cNvPr>
        <xdr:cNvCxnSpPr>
          <a:stCxn id="300" idx="2"/>
        </xdr:cNvCxnSpPr>
      </xdr:nvCxnSpPr>
      <xdr:spPr>
        <a:xfrm rot="5400000">
          <a:off x="446407" y="6476544"/>
          <a:ext cx="1243149" cy="738962"/>
        </a:xfrm>
        <a:prstGeom prst="bentConnector3">
          <a:avLst>
            <a:gd name="adj1" fmla="val -336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69853</xdr:colOff>
      <xdr:row>39</xdr:row>
      <xdr:rowOff>31750</xdr:rowOff>
    </xdr:from>
    <xdr:to>
      <xdr:col>4</xdr:col>
      <xdr:colOff>193144</xdr:colOff>
      <xdr:row>44</xdr:row>
      <xdr:rowOff>18785</xdr:rowOff>
    </xdr:to>
    <xdr:cxnSp macro="">
      <xdr:nvCxnSpPr>
        <xdr:cNvPr id="299" name="Connector: Elbow 298">
          <a:extLst>
            <a:ext uri="{FF2B5EF4-FFF2-40B4-BE49-F238E27FC236}">
              <a16:creationId xmlns:a16="http://schemas.microsoft.com/office/drawing/2014/main" id="{082BA9DD-F564-4374-9AA0-9DE410BD1F55}"/>
            </a:ext>
          </a:extLst>
        </xdr:cNvPr>
        <xdr:cNvCxnSpPr>
          <a:stCxn id="189" idx="0"/>
        </xdr:cNvCxnSpPr>
      </xdr:nvCxnSpPr>
      <xdr:spPr>
        <a:xfrm rot="16200000" flipV="1">
          <a:off x="604706" y="7555047"/>
          <a:ext cx="939535" cy="751941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180146</xdr:colOff>
      <xdr:row>32</xdr:row>
      <xdr:rowOff>62619</xdr:rowOff>
    </xdr:from>
    <xdr:to>
      <xdr:col>4</xdr:col>
      <xdr:colOff>314177</xdr:colOff>
      <xdr:row>33</xdr:row>
      <xdr:rowOff>13773</xdr:rowOff>
    </xdr:to>
    <xdr:sp macro="" textlink="">
      <xdr:nvSpPr>
        <xdr:cNvPr id="300" name="Arc 299">
          <a:extLst>
            <a:ext uri="{FF2B5EF4-FFF2-40B4-BE49-F238E27FC236}">
              <a16:creationId xmlns:a16="http://schemas.microsoft.com/office/drawing/2014/main" id="{2189B4FD-7722-427F-B630-76D746E25A8F}"/>
            </a:ext>
          </a:extLst>
        </xdr:cNvPr>
        <xdr:cNvSpPr/>
      </xdr:nvSpPr>
      <xdr:spPr>
        <a:xfrm rot="16200000" flipV="1">
          <a:off x="1433635" y="6162430"/>
          <a:ext cx="141654" cy="134031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314178</xdr:colOff>
      <xdr:row>26</xdr:row>
      <xdr:rowOff>45968</xdr:rowOff>
    </xdr:from>
    <xdr:to>
      <xdr:col>5</xdr:col>
      <xdr:colOff>183466</xdr:colOff>
      <xdr:row>32</xdr:row>
      <xdr:rowOff>127096</xdr:rowOff>
    </xdr:to>
    <xdr:cxnSp macro="">
      <xdr:nvCxnSpPr>
        <xdr:cNvPr id="301" name="Connector: Elbow 300">
          <a:extLst>
            <a:ext uri="{FF2B5EF4-FFF2-40B4-BE49-F238E27FC236}">
              <a16:creationId xmlns:a16="http://schemas.microsoft.com/office/drawing/2014/main" id="{83D9F0B9-CBB6-47A5-8453-A2EB6D208821}"/>
            </a:ext>
          </a:extLst>
        </xdr:cNvPr>
        <xdr:cNvCxnSpPr>
          <a:stCxn id="300" idx="0"/>
          <a:endCxn id="100" idx="2"/>
        </xdr:cNvCxnSpPr>
      </xdr:nvCxnSpPr>
      <xdr:spPr>
        <a:xfrm rot="5400000" flipH="1" flipV="1">
          <a:off x="1051221" y="5519225"/>
          <a:ext cx="1224128" cy="183613"/>
        </a:xfrm>
        <a:prstGeom prst="bentConnector3">
          <a:avLst>
            <a:gd name="adj1" fmla="val 247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170946</xdr:colOff>
      <xdr:row>43</xdr:row>
      <xdr:rowOff>23376</xdr:rowOff>
    </xdr:from>
    <xdr:to>
      <xdr:col>8</xdr:col>
      <xdr:colOff>92139</xdr:colOff>
      <xdr:row>44</xdr:row>
      <xdr:rowOff>18884</xdr:rowOff>
    </xdr:to>
    <xdr:cxnSp macro="">
      <xdr:nvCxnSpPr>
        <xdr:cNvPr id="302" name="Connector: Elbow 301">
          <a:extLst>
            <a:ext uri="{FF2B5EF4-FFF2-40B4-BE49-F238E27FC236}">
              <a16:creationId xmlns:a16="http://schemas.microsoft.com/office/drawing/2014/main" id="{03662960-4F2B-493D-9584-1DC5565DFB1D}"/>
            </a:ext>
          </a:extLst>
        </xdr:cNvPr>
        <xdr:cNvCxnSpPr>
          <a:stCxn id="196" idx="0"/>
          <a:endCxn id="210" idx="1"/>
        </xdr:cNvCxnSpPr>
      </xdr:nvCxnSpPr>
      <xdr:spPr>
        <a:xfrm rot="5400000" flipH="1" flipV="1">
          <a:off x="2238814" y="8032958"/>
          <a:ext cx="186008" cy="549843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52251</xdr:colOff>
      <xdr:row>28</xdr:row>
      <xdr:rowOff>169347</xdr:rowOff>
    </xdr:from>
    <xdr:ext cx="350417" cy="233205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C679F23E-73DA-4E40-A043-F6B58B064ADD}"/>
            </a:ext>
          </a:extLst>
        </xdr:cNvPr>
        <xdr:cNvSpPr txBox="1"/>
      </xdr:nvSpPr>
      <xdr:spPr>
        <a:xfrm>
          <a:off x="6024426" y="550334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L28</a:t>
          </a:r>
        </a:p>
      </xdr:txBody>
    </xdr:sp>
    <xdr:clientData/>
  </xdr:oneCellAnchor>
  <xdr:oneCellAnchor>
    <xdr:from>
      <xdr:col>15</xdr:col>
      <xdr:colOff>133892</xdr:colOff>
      <xdr:row>31</xdr:row>
      <xdr:rowOff>169346</xdr:rowOff>
    </xdr:from>
    <xdr:ext cx="350417" cy="233205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25BE8514-DE2E-4A4E-8F0C-23DEA9D2976B}"/>
            </a:ext>
          </a:extLst>
        </xdr:cNvPr>
        <xdr:cNvSpPr txBox="1"/>
      </xdr:nvSpPr>
      <xdr:spPr>
        <a:xfrm>
          <a:off x="4848767" y="607484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L31</a:t>
          </a:r>
        </a:p>
      </xdr:txBody>
    </xdr:sp>
    <xdr:clientData/>
  </xdr:oneCellAnchor>
  <xdr:oneCellAnchor>
    <xdr:from>
      <xdr:col>17</xdr:col>
      <xdr:colOff>115751</xdr:colOff>
      <xdr:row>33</xdr:row>
      <xdr:rowOff>105847</xdr:rowOff>
    </xdr:from>
    <xdr:ext cx="350417" cy="233205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48482943-060D-46D9-8CDC-F8C9D5A7CD60}"/>
            </a:ext>
          </a:extLst>
        </xdr:cNvPr>
        <xdr:cNvSpPr txBox="1"/>
      </xdr:nvSpPr>
      <xdr:spPr>
        <a:xfrm>
          <a:off x="5459276" y="639234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L29</a:t>
          </a:r>
        </a:p>
      </xdr:txBody>
    </xdr:sp>
    <xdr:clientData/>
  </xdr:oneCellAnchor>
  <xdr:oneCellAnchor>
    <xdr:from>
      <xdr:col>20</xdr:col>
      <xdr:colOff>97607</xdr:colOff>
      <xdr:row>32</xdr:row>
      <xdr:rowOff>114919</xdr:rowOff>
    </xdr:from>
    <xdr:ext cx="350417" cy="233205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3C2591E6-18F1-479E-9FEA-4156BC160AA3}"/>
            </a:ext>
          </a:extLst>
        </xdr:cNvPr>
        <xdr:cNvSpPr txBox="1"/>
      </xdr:nvSpPr>
      <xdr:spPr>
        <a:xfrm>
          <a:off x="6384107" y="621091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L30</a:t>
          </a:r>
        </a:p>
      </xdr:txBody>
    </xdr:sp>
    <xdr:clientData/>
  </xdr:oneCellAnchor>
  <xdr:oneCellAnchor>
    <xdr:from>
      <xdr:col>18</xdr:col>
      <xdr:colOff>197393</xdr:colOff>
      <xdr:row>24</xdr:row>
      <xdr:rowOff>33275</xdr:rowOff>
    </xdr:from>
    <xdr:ext cx="350417" cy="233205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A1D72F1-2090-4BDB-87BD-41CFD7CCB220}"/>
            </a:ext>
          </a:extLst>
        </xdr:cNvPr>
        <xdr:cNvSpPr txBox="1"/>
      </xdr:nvSpPr>
      <xdr:spPr>
        <a:xfrm>
          <a:off x="5855243" y="460527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L26</a:t>
          </a:r>
        </a:p>
      </xdr:txBody>
    </xdr:sp>
    <xdr:clientData/>
  </xdr:oneCellAnchor>
  <xdr:oneCellAnchor>
    <xdr:from>
      <xdr:col>19</xdr:col>
      <xdr:colOff>97607</xdr:colOff>
      <xdr:row>37</xdr:row>
      <xdr:rowOff>169346</xdr:rowOff>
    </xdr:from>
    <xdr:ext cx="350417" cy="233205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DF4113E8-E18C-4E1D-BA32-F0A0B0453E05}"/>
            </a:ext>
          </a:extLst>
        </xdr:cNvPr>
        <xdr:cNvSpPr txBox="1"/>
      </xdr:nvSpPr>
      <xdr:spPr>
        <a:xfrm>
          <a:off x="6069782" y="721784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L33</a:t>
          </a:r>
        </a:p>
      </xdr:txBody>
    </xdr:sp>
    <xdr:clientData/>
  </xdr:oneCellAnchor>
  <xdr:oneCellAnchor>
    <xdr:from>
      <xdr:col>2</xdr:col>
      <xdr:colOff>106679</xdr:colOff>
      <xdr:row>40</xdr:row>
      <xdr:rowOff>6059</xdr:rowOff>
    </xdr:from>
    <xdr:ext cx="350417" cy="233205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CCCDAC8F-6255-479A-A408-87E65CD5D38D}"/>
            </a:ext>
          </a:extLst>
        </xdr:cNvPr>
        <xdr:cNvSpPr txBox="1"/>
      </xdr:nvSpPr>
      <xdr:spPr>
        <a:xfrm>
          <a:off x="735329" y="762605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L36</a:t>
          </a:r>
        </a:p>
      </xdr:txBody>
    </xdr:sp>
    <xdr:clientData/>
  </xdr:oneCellAnchor>
  <xdr:oneCellAnchor>
    <xdr:from>
      <xdr:col>17</xdr:col>
      <xdr:colOff>115750</xdr:colOff>
      <xdr:row>42</xdr:row>
      <xdr:rowOff>114917</xdr:rowOff>
    </xdr:from>
    <xdr:ext cx="350417" cy="233205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2A69DBC9-B8D8-4163-BC17-2AEDEBBA09DD}"/>
            </a:ext>
          </a:extLst>
        </xdr:cNvPr>
        <xdr:cNvSpPr txBox="1"/>
      </xdr:nvSpPr>
      <xdr:spPr>
        <a:xfrm>
          <a:off x="5459275" y="811591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L34</a:t>
          </a:r>
        </a:p>
      </xdr:txBody>
    </xdr:sp>
    <xdr:clientData/>
  </xdr:oneCellAnchor>
  <xdr:oneCellAnchor>
    <xdr:from>
      <xdr:col>16</xdr:col>
      <xdr:colOff>197393</xdr:colOff>
      <xdr:row>36</xdr:row>
      <xdr:rowOff>160274</xdr:rowOff>
    </xdr:from>
    <xdr:ext cx="350417" cy="233205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17B96000-353B-4FEA-A51B-D8F289F4E36C}"/>
            </a:ext>
          </a:extLst>
        </xdr:cNvPr>
        <xdr:cNvSpPr txBox="1"/>
      </xdr:nvSpPr>
      <xdr:spPr>
        <a:xfrm>
          <a:off x="5226593" y="7018274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L32</a:t>
          </a:r>
        </a:p>
      </xdr:txBody>
    </xdr:sp>
    <xdr:clientData/>
  </xdr:oneCellAnchor>
  <xdr:oneCellAnchor>
    <xdr:from>
      <xdr:col>11</xdr:col>
      <xdr:colOff>278051</xdr:colOff>
      <xdr:row>43</xdr:row>
      <xdr:rowOff>115235</xdr:rowOff>
    </xdr:from>
    <xdr:ext cx="350417" cy="233205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C8CF91F8-E014-4801-B242-8502A09E05C3}"/>
            </a:ext>
          </a:extLst>
        </xdr:cNvPr>
        <xdr:cNvSpPr txBox="1"/>
      </xdr:nvSpPr>
      <xdr:spPr>
        <a:xfrm>
          <a:off x="3735626" y="830673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L39</a:t>
          </a:r>
        </a:p>
      </xdr:txBody>
    </xdr:sp>
    <xdr:clientData/>
  </xdr:oneCellAnchor>
  <xdr:oneCellAnchor>
    <xdr:from>
      <xdr:col>16</xdr:col>
      <xdr:colOff>187337</xdr:colOff>
      <xdr:row>45</xdr:row>
      <xdr:rowOff>60805</xdr:rowOff>
    </xdr:from>
    <xdr:ext cx="350417" cy="233205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1DB32342-4ED7-40EC-A68B-0266093117A6}"/>
            </a:ext>
          </a:extLst>
        </xdr:cNvPr>
        <xdr:cNvSpPr txBox="1"/>
      </xdr:nvSpPr>
      <xdr:spPr>
        <a:xfrm>
          <a:off x="5216537" y="863330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L42</a:t>
          </a:r>
        </a:p>
      </xdr:txBody>
    </xdr:sp>
    <xdr:clientData/>
  </xdr:oneCellAnchor>
  <xdr:oneCellAnchor>
    <xdr:from>
      <xdr:col>11</xdr:col>
      <xdr:colOff>268979</xdr:colOff>
      <xdr:row>45</xdr:row>
      <xdr:rowOff>142449</xdr:rowOff>
    </xdr:from>
    <xdr:ext cx="350417" cy="233205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CFB2E26C-A6F5-41FD-9841-79C28E833AA5}"/>
            </a:ext>
          </a:extLst>
        </xdr:cNvPr>
        <xdr:cNvSpPr txBox="1"/>
      </xdr:nvSpPr>
      <xdr:spPr>
        <a:xfrm>
          <a:off x="3726554" y="871494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L40</a:t>
          </a:r>
        </a:p>
      </xdr:txBody>
    </xdr:sp>
    <xdr:clientData/>
  </xdr:oneCellAnchor>
  <xdr:oneCellAnchor>
    <xdr:from>
      <xdr:col>19</xdr:col>
      <xdr:colOff>24051</xdr:colOff>
      <xdr:row>45</xdr:row>
      <xdr:rowOff>133376</xdr:rowOff>
    </xdr:from>
    <xdr:ext cx="350417" cy="233205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29B3660A-3DEE-4BDB-8DC2-9D2BC9844672}"/>
            </a:ext>
          </a:extLst>
        </xdr:cNvPr>
        <xdr:cNvSpPr txBox="1"/>
      </xdr:nvSpPr>
      <xdr:spPr>
        <a:xfrm>
          <a:off x="5996226" y="870587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L43</a:t>
          </a:r>
        </a:p>
      </xdr:txBody>
    </xdr:sp>
    <xdr:clientData/>
  </xdr:oneCellAnchor>
  <xdr:oneCellAnchor>
    <xdr:from>
      <xdr:col>17</xdr:col>
      <xdr:colOff>78480</xdr:colOff>
      <xdr:row>50</xdr:row>
      <xdr:rowOff>15449</xdr:rowOff>
    </xdr:from>
    <xdr:ext cx="350417" cy="233205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A2394EA-9E14-4EAB-8537-4D59F38F7FAF}"/>
            </a:ext>
          </a:extLst>
        </xdr:cNvPr>
        <xdr:cNvSpPr txBox="1"/>
      </xdr:nvSpPr>
      <xdr:spPr>
        <a:xfrm>
          <a:off x="5422005" y="954044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L44</a:t>
          </a:r>
        </a:p>
      </xdr:txBody>
    </xdr:sp>
    <xdr:clientData/>
  </xdr:oneCellAnchor>
  <xdr:oneCellAnchor>
    <xdr:from>
      <xdr:col>20</xdr:col>
      <xdr:colOff>24051</xdr:colOff>
      <xdr:row>49</xdr:row>
      <xdr:rowOff>33591</xdr:rowOff>
    </xdr:from>
    <xdr:ext cx="350417" cy="233205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5365C813-9EDE-42BA-AC9B-556D2AB5FBB2}"/>
            </a:ext>
          </a:extLst>
        </xdr:cNvPr>
        <xdr:cNvSpPr txBox="1"/>
      </xdr:nvSpPr>
      <xdr:spPr>
        <a:xfrm>
          <a:off x="6310551" y="9368091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L45</a:t>
          </a:r>
        </a:p>
      </xdr:txBody>
    </xdr:sp>
    <xdr:clientData/>
  </xdr:oneCellAnchor>
  <xdr:twoCellAnchor>
    <xdr:from>
      <xdr:col>14</xdr:col>
      <xdr:colOff>23622</xdr:colOff>
      <xdr:row>54</xdr:row>
      <xdr:rowOff>43914</xdr:rowOff>
    </xdr:from>
    <xdr:to>
      <xdr:col>16</xdr:col>
      <xdr:colOff>176751</xdr:colOff>
      <xdr:row>55</xdr:row>
      <xdr:rowOff>164038</xdr:rowOff>
    </xdr:to>
    <xdr:grpSp>
      <xdr:nvGrpSpPr>
        <xdr:cNvPr id="318" name="Group 317">
          <a:extLst>
            <a:ext uri="{FF2B5EF4-FFF2-40B4-BE49-F238E27FC236}">
              <a16:creationId xmlns:a16="http://schemas.microsoft.com/office/drawing/2014/main" id="{6A9FBDE9-87B9-48AC-A6CD-D623211E4F33}"/>
            </a:ext>
          </a:extLst>
        </xdr:cNvPr>
        <xdr:cNvGrpSpPr/>
      </xdr:nvGrpSpPr>
      <xdr:grpSpPr>
        <a:xfrm>
          <a:off x="4231187" y="10745044"/>
          <a:ext cx="782607" cy="327190"/>
          <a:chOff x="2013863" y="4128459"/>
          <a:chExt cx="780272" cy="275891"/>
        </a:xfrm>
      </xdr:grpSpPr>
      <xdr:grpSp>
        <xdr:nvGrpSpPr>
          <xdr:cNvPr id="319" name="Group 318">
            <a:extLst>
              <a:ext uri="{FF2B5EF4-FFF2-40B4-BE49-F238E27FC236}">
                <a16:creationId xmlns:a16="http://schemas.microsoft.com/office/drawing/2014/main" id="{1C2369F7-8BDB-268B-5B20-9881A7F790D6}"/>
              </a:ext>
            </a:extLst>
          </xdr:cNvPr>
          <xdr:cNvGrpSpPr/>
        </xdr:nvGrpSpPr>
        <xdr:grpSpPr>
          <a:xfrm>
            <a:off x="2321557" y="4128459"/>
            <a:ext cx="472578" cy="275641"/>
            <a:chOff x="2059356" y="3109972"/>
            <a:chExt cx="474587" cy="266834"/>
          </a:xfrm>
        </xdr:grpSpPr>
        <xdr:sp macro="" textlink="">
          <xdr:nvSpPr>
            <xdr:cNvPr id="321" name="Rectangle 320">
              <a:extLst>
                <a:ext uri="{FF2B5EF4-FFF2-40B4-BE49-F238E27FC236}">
                  <a16:creationId xmlns:a16="http://schemas.microsoft.com/office/drawing/2014/main" id="{4C29B5CC-8D9D-A226-A019-E93BC6E403DE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2" name="Rectangle 321">
              <a:extLst>
                <a:ext uri="{FF2B5EF4-FFF2-40B4-BE49-F238E27FC236}">
                  <a16:creationId xmlns:a16="http://schemas.microsoft.com/office/drawing/2014/main" id="{7D2D0A95-6514-0A5B-2013-9D9902A7743D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3" name="Rectangle 322">
              <a:extLst>
                <a:ext uri="{FF2B5EF4-FFF2-40B4-BE49-F238E27FC236}">
                  <a16:creationId xmlns:a16="http://schemas.microsoft.com/office/drawing/2014/main" id="{5116F7E0-3AB4-F8BB-2245-C523880DB390}"/>
                </a:ext>
              </a:extLst>
            </xdr:cNvPr>
            <xdr:cNvSpPr/>
          </xdr:nvSpPr>
          <xdr:spPr>
            <a:xfrm>
              <a:off x="223882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4" name="Rectangle 323">
              <a:extLst>
                <a:ext uri="{FF2B5EF4-FFF2-40B4-BE49-F238E27FC236}">
                  <a16:creationId xmlns:a16="http://schemas.microsoft.com/office/drawing/2014/main" id="{3A510145-C569-B493-FD56-51FA05DD320C}"/>
                </a:ext>
              </a:extLst>
            </xdr:cNvPr>
            <xdr:cNvSpPr/>
          </xdr:nvSpPr>
          <xdr:spPr>
            <a:xfrm>
              <a:off x="2343914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5" name="Rectangle 324">
              <a:extLst>
                <a:ext uri="{FF2B5EF4-FFF2-40B4-BE49-F238E27FC236}">
                  <a16:creationId xmlns:a16="http://schemas.microsoft.com/office/drawing/2014/main" id="{0995A7AC-1BB6-E612-5218-9D939A8FDAEE}"/>
                </a:ext>
              </a:extLst>
            </xdr:cNvPr>
            <xdr:cNvSpPr/>
          </xdr:nvSpPr>
          <xdr:spPr>
            <a:xfrm>
              <a:off x="244504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20" name="TextBox 319">
            <a:extLst>
              <a:ext uri="{FF2B5EF4-FFF2-40B4-BE49-F238E27FC236}">
                <a16:creationId xmlns:a16="http://schemas.microsoft.com/office/drawing/2014/main" id="{3E49E375-C202-5F9F-F5D3-A3134C7E35AF}"/>
              </a:ext>
            </a:extLst>
          </xdr:cNvPr>
          <xdr:cNvSpPr txBox="1"/>
        </xdr:nvSpPr>
        <xdr:spPr>
          <a:xfrm>
            <a:off x="2013863" y="4131984"/>
            <a:ext cx="310239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38</a:t>
            </a:r>
          </a:p>
        </xdr:txBody>
      </xdr:sp>
    </xdr:grpSp>
    <xdr:clientData/>
  </xdr:twoCellAnchor>
  <xdr:twoCellAnchor>
    <xdr:from>
      <xdr:col>15</xdr:col>
      <xdr:colOff>61836</xdr:colOff>
      <xdr:row>45</xdr:row>
      <xdr:rowOff>112137</xdr:rowOff>
    </xdr:from>
    <xdr:to>
      <xdr:col>15</xdr:col>
      <xdr:colOff>169621</xdr:colOff>
      <xdr:row>54</xdr:row>
      <xdr:rowOff>43915</xdr:rowOff>
    </xdr:to>
    <xdr:cxnSp macro="">
      <xdr:nvCxnSpPr>
        <xdr:cNvPr id="326" name="Connector: Elbow 325">
          <a:extLst>
            <a:ext uri="{FF2B5EF4-FFF2-40B4-BE49-F238E27FC236}">
              <a16:creationId xmlns:a16="http://schemas.microsoft.com/office/drawing/2014/main" id="{DC458FD0-0C0D-4BAE-9A67-828448AD39B7}"/>
            </a:ext>
          </a:extLst>
        </xdr:cNvPr>
        <xdr:cNvCxnSpPr>
          <a:stCxn id="321" idx="0"/>
          <a:endCxn id="204" idx="2"/>
        </xdr:cNvCxnSpPr>
      </xdr:nvCxnSpPr>
      <xdr:spPr>
        <a:xfrm rot="5400000" flipH="1" flipV="1">
          <a:off x="4007465" y="9453883"/>
          <a:ext cx="1646278" cy="107785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43299</xdr:colOff>
      <xdr:row>53</xdr:row>
      <xdr:rowOff>136171</xdr:rowOff>
    </xdr:from>
    <xdr:to>
      <xdr:col>11</xdr:col>
      <xdr:colOff>128751</xdr:colOff>
      <xdr:row>55</xdr:row>
      <xdr:rowOff>10660</xdr:rowOff>
    </xdr:to>
    <xdr:grpSp>
      <xdr:nvGrpSpPr>
        <xdr:cNvPr id="327" name="Group 326">
          <a:extLst>
            <a:ext uri="{FF2B5EF4-FFF2-40B4-BE49-F238E27FC236}">
              <a16:creationId xmlns:a16="http://schemas.microsoft.com/office/drawing/2014/main" id="{933AF82A-C886-44E4-BEB3-E0FC49138D95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62429" y="10630236"/>
          <a:ext cx="1029670" cy="288620"/>
          <a:chOff x="954877" y="2135737"/>
          <a:chExt cx="1042837" cy="272997"/>
        </a:xfrm>
      </xdr:grpSpPr>
      <xdr:sp macro="" textlink="">
        <xdr:nvSpPr>
          <xdr:cNvPr id="328" name="Rectangle 327">
            <a:extLst>
              <a:ext uri="{FF2B5EF4-FFF2-40B4-BE49-F238E27FC236}">
                <a16:creationId xmlns:a16="http://schemas.microsoft.com/office/drawing/2014/main" id="{34193196-6476-93D6-2FF9-63E14BBAF872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(5)</a:t>
            </a:r>
          </a:p>
        </xdr:txBody>
      </xdr:sp>
      <xdr:sp macro="" textlink="">
        <xdr:nvSpPr>
          <xdr:cNvPr id="329" name="TextBox 328">
            <a:extLst>
              <a:ext uri="{FF2B5EF4-FFF2-40B4-BE49-F238E27FC236}">
                <a16:creationId xmlns:a16="http://schemas.microsoft.com/office/drawing/2014/main" id="{13537578-CD4E-02A5-BBB9-5647785C2C81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39</a:t>
            </a:r>
          </a:p>
        </xdr:txBody>
      </xdr:sp>
    </xdr:grpSp>
    <xdr:clientData/>
  </xdr:twoCellAnchor>
  <xdr:twoCellAnchor>
    <xdr:from>
      <xdr:col>8</xdr:col>
      <xdr:colOff>40387</xdr:colOff>
      <xdr:row>56</xdr:row>
      <xdr:rowOff>129772</xdr:rowOff>
    </xdr:from>
    <xdr:to>
      <xdr:col>11</xdr:col>
      <xdr:colOff>125839</xdr:colOff>
      <xdr:row>58</xdr:row>
      <xdr:rowOff>501</xdr:rowOff>
    </xdr:to>
    <xdr:grpSp>
      <xdr:nvGrpSpPr>
        <xdr:cNvPr id="330" name="Group 329">
          <a:extLst>
            <a:ext uri="{FF2B5EF4-FFF2-40B4-BE49-F238E27FC236}">
              <a16:creationId xmlns:a16="http://schemas.microsoft.com/office/drawing/2014/main" id="{65F37D0D-2BC5-488D-9A87-30464096CDD0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59517" y="11245033"/>
          <a:ext cx="1029670" cy="284859"/>
          <a:chOff x="954877" y="2135737"/>
          <a:chExt cx="1042837" cy="272997"/>
        </a:xfrm>
      </xdr:grpSpPr>
      <xdr:sp macro="" textlink="">
        <xdr:nvSpPr>
          <xdr:cNvPr id="331" name="Rectangle 330">
            <a:extLst>
              <a:ext uri="{FF2B5EF4-FFF2-40B4-BE49-F238E27FC236}">
                <a16:creationId xmlns:a16="http://schemas.microsoft.com/office/drawing/2014/main" id="{69C8C530-2212-209A-DDEE-66D3D0C886C9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(5)</a:t>
            </a:r>
          </a:p>
        </xdr:txBody>
      </xdr:sp>
      <xdr:sp macro="" textlink="">
        <xdr:nvSpPr>
          <xdr:cNvPr id="332" name="TextBox 331">
            <a:extLst>
              <a:ext uri="{FF2B5EF4-FFF2-40B4-BE49-F238E27FC236}">
                <a16:creationId xmlns:a16="http://schemas.microsoft.com/office/drawing/2014/main" id="{06F9FA51-E5A4-4BB2-17DE-E8D7FA93B7BF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40</a:t>
            </a:r>
          </a:p>
        </xdr:txBody>
      </xdr:sp>
    </xdr:grpSp>
    <xdr:clientData/>
  </xdr:twoCellAnchor>
  <xdr:twoCellAnchor>
    <xdr:from>
      <xdr:col>11</xdr:col>
      <xdr:colOff>128751</xdr:colOff>
      <xdr:row>54</xdr:row>
      <xdr:rowOff>43914</xdr:rowOff>
    </xdr:from>
    <xdr:to>
      <xdr:col>16</xdr:col>
      <xdr:colOff>31142</xdr:colOff>
      <xdr:row>54</xdr:row>
      <xdr:rowOff>72020</xdr:rowOff>
    </xdr:to>
    <xdr:cxnSp macro="">
      <xdr:nvCxnSpPr>
        <xdr:cNvPr id="333" name="Connector: Elbow 332">
          <a:extLst>
            <a:ext uri="{FF2B5EF4-FFF2-40B4-BE49-F238E27FC236}">
              <a16:creationId xmlns:a16="http://schemas.microsoft.com/office/drawing/2014/main" id="{0BD0FE97-8572-4285-8691-16212E6202B6}"/>
            </a:ext>
          </a:extLst>
        </xdr:cNvPr>
        <xdr:cNvCxnSpPr>
          <a:stCxn id="328" idx="3"/>
          <a:endCxn id="324" idx="0"/>
        </xdr:cNvCxnSpPr>
      </xdr:nvCxnSpPr>
      <xdr:spPr>
        <a:xfrm flipV="1">
          <a:off x="3586326" y="10330914"/>
          <a:ext cx="1474016" cy="28106"/>
        </a:xfrm>
        <a:prstGeom prst="bentConnector4">
          <a:avLst>
            <a:gd name="adj1" fmla="val 48497"/>
            <a:gd name="adj2" fmla="val 1333011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125839</xdr:colOff>
      <xdr:row>55</xdr:row>
      <xdr:rowOff>163739</xdr:rowOff>
    </xdr:from>
    <xdr:to>
      <xdr:col>15</xdr:col>
      <xdr:colOff>241341</xdr:colOff>
      <xdr:row>57</xdr:row>
      <xdr:rowOff>63758</xdr:rowOff>
    </xdr:to>
    <xdr:cxnSp macro="">
      <xdr:nvCxnSpPr>
        <xdr:cNvPr id="334" name="Connector: Elbow 333">
          <a:extLst>
            <a:ext uri="{FF2B5EF4-FFF2-40B4-BE49-F238E27FC236}">
              <a16:creationId xmlns:a16="http://schemas.microsoft.com/office/drawing/2014/main" id="{F6702C1A-87F9-4E07-9E30-E69D1A769E15}"/>
            </a:ext>
          </a:extLst>
        </xdr:cNvPr>
        <xdr:cNvCxnSpPr>
          <a:stCxn id="331" idx="3"/>
          <a:endCxn id="323" idx="2"/>
        </xdr:cNvCxnSpPr>
      </xdr:nvCxnSpPr>
      <xdr:spPr>
        <a:xfrm flipV="1">
          <a:off x="3583414" y="10641239"/>
          <a:ext cx="1372802" cy="281019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33329</xdr:colOff>
      <xdr:row>62</xdr:row>
      <xdr:rowOff>130198</xdr:rowOff>
    </xdr:from>
    <xdr:to>
      <xdr:col>16</xdr:col>
      <xdr:colOff>179268</xdr:colOff>
      <xdr:row>64</xdr:row>
      <xdr:rowOff>37227</xdr:rowOff>
    </xdr:to>
    <xdr:grpSp>
      <xdr:nvGrpSpPr>
        <xdr:cNvPr id="335" name="Group 334">
          <a:extLst>
            <a:ext uri="{FF2B5EF4-FFF2-40B4-BE49-F238E27FC236}">
              <a16:creationId xmlns:a16="http://schemas.microsoft.com/office/drawing/2014/main" id="{6A74F694-AD49-4F8D-97EE-0EE519FE9AEC}"/>
            </a:ext>
          </a:extLst>
        </xdr:cNvPr>
        <xdr:cNvGrpSpPr/>
      </xdr:nvGrpSpPr>
      <xdr:grpSpPr>
        <a:xfrm>
          <a:off x="4240894" y="12487850"/>
          <a:ext cx="775417" cy="321160"/>
          <a:chOff x="2013863" y="4128451"/>
          <a:chExt cx="773112" cy="276132"/>
        </a:xfrm>
      </xdr:grpSpPr>
      <xdr:grpSp>
        <xdr:nvGrpSpPr>
          <xdr:cNvPr id="336" name="Group 335">
            <a:extLst>
              <a:ext uri="{FF2B5EF4-FFF2-40B4-BE49-F238E27FC236}">
                <a16:creationId xmlns:a16="http://schemas.microsoft.com/office/drawing/2014/main" id="{9DF1CC97-47A0-D055-EB47-20FBAEC1695C}"/>
              </a:ext>
            </a:extLst>
          </xdr:cNvPr>
          <xdr:cNvGrpSpPr/>
        </xdr:nvGrpSpPr>
        <xdr:grpSpPr>
          <a:xfrm>
            <a:off x="2321554" y="4128451"/>
            <a:ext cx="465421" cy="276132"/>
            <a:chOff x="2059356" y="3109972"/>
            <a:chExt cx="467400" cy="267310"/>
          </a:xfrm>
        </xdr:grpSpPr>
        <xdr:sp macro="" textlink="">
          <xdr:nvSpPr>
            <xdr:cNvPr id="338" name="Rectangle 337">
              <a:extLst>
                <a:ext uri="{FF2B5EF4-FFF2-40B4-BE49-F238E27FC236}">
                  <a16:creationId xmlns:a16="http://schemas.microsoft.com/office/drawing/2014/main" id="{6883E8ED-B197-6A88-9DF4-BBF59A0A84B8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39" name="Rectangle 338">
              <a:extLst>
                <a:ext uri="{FF2B5EF4-FFF2-40B4-BE49-F238E27FC236}">
                  <a16:creationId xmlns:a16="http://schemas.microsoft.com/office/drawing/2014/main" id="{6659C007-CDAF-AC8B-D8DF-067047D1CA94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0" name="Rectangle 339">
              <a:extLst>
                <a:ext uri="{FF2B5EF4-FFF2-40B4-BE49-F238E27FC236}">
                  <a16:creationId xmlns:a16="http://schemas.microsoft.com/office/drawing/2014/main" id="{E13632BF-0BDA-C74E-5032-D9B6E2755567}"/>
                </a:ext>
              </a:extLst>
            </xdr:cNvPr>
            <xdr:cNvSpPr/>
          </xdr:nvSpPr>
          <xdr:spPr>
            <a:xfrm>
              <a:off x="223882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1" name="Rectangle 340">
              <a:extLst>
                <a:ext uri="{FF2B5EF4-FFF2-40B4-BE49-F238E27FC236}">
                  <a16:creationId xmlns:a16="http://schemas.microsoft.com/office/drawing/2014/main" id="{43402D57-8CD0-931C-8984-221AB507D7E1}"/>
                </a:ext>
              </a:extLst>
            </xdr:cNvPr>
            <xdr:cNvSpPr/>
          </xdr:nvSpPr>
          <xdr:spPr>
            <a:xfrm>
              <a:off x="2343914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2" name="Rectangle 341">
              <a:extLst>
                <a:ext uri="{FF2B5EF4-FFF2-40B4-BE49-F238E27FC236}">
                  <a16:creationId xmlns:a16="http://schemas.microsoft.com/office/drawing/2014/main" id="{D06B0613-6272-8147-307F-26B1941D90F1}"/>
                </a:ext>
              </a:extLst>
            </xdr:cNvPr>
            <xdr:cNvSpPr/>
          </xdr:nvSpPr>
          <xdr:spPr>
            <a:xfrm>
              <a:off x="2437856" y="3110448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2339FC1C-CE7F-FC27-AD21-A0E8DA845987}"/>
              </a:ext>
            </a:extLst>
          </xdr:cNvPr>
          <xdr:cNvSpPr txBox="1"/>
        </xdr:nvSpPr>
        <xdr:spPr>
          <a:xfrm>
            <a:off x="2013863" y="4131984"/>
            <a:ext cx="310239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41</a:t>
            </a:r>
          </a:p>
        </xdr:txBody>
      </xdr:sp>
    </xdr:grpSp>
    <xdr:clientData/>
  </xdr:twoCellAnchor>
  <xdr:twoCellAnchor>
    <xdr:from>
      <xdr:col>8</xdr:col>
      <xdr:colOff>39872</xdr:colOff>
      <xdr:row>60</xdr:row>
      <xdr:rowOff>199575</xdr:rowOff>
    </xdr:from>
    <xdr:to>
      <xdr:col>11</xdr:col>
      <xdr:colOff>125324</xdr:colOff>
      <xdr:row>62</xdr:row>
      <xdr:rowOff>77206</xdr:rowOff>
    </xdr:to>
    <xdr:grpSp>
      <xdr:nvGrpSpPr>
        <xdr:cNvPr id="343" name="Group 342">
          <a:extLst>
            <a:ext uri="{FF2B5EF4-FFF2-40B4-BE49-F238E27FC236}">
              <a16:creationId xmlns:a16="http://schemas.microsoft.com/office/drawing/2014/main" id="{97CF32FA-17D7-4A9E-BD1D-949D055CB904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59002" y="12143097"/>
          <a:ext cx="1029670" cy="291761"/>
          <a:chOff x="954877" y="2135737"/>
          <a:chExt cx="1042837" cy="272997"/>
        </a:xfrm>
      </xdr:grpSpPr>
      <xdr:sp macro="" textlink="">
        <xdr:nvSpPr>
          <xdr:cNvPr id="344" name="Rectangle 343">
            <a:extLst>
              <a:ext uri="{FF2B5EF4-FFF2-40B4-BE49-F238E27FC236}">
                <a16:creationId xmlns:a16="http://schemas.microsoft.com/office/drawing/2014/main" id="{CF668CB0-5632-BDCB-8229-8D484474DEA9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(6)</a:t>
            </a:r>
          </a:p>
        </xdr:txBody>
      </xdr:sp>
      <xdr:sp macro="" textlink="">
        <xdr:nvSpPr>
          <xdr:cNvPr id="345" name="TextBox 344">
            <a:extLst>
              <a:ext uri="{FF2B5EF4-FFF2-40B4-BE49-F238E27FC236}">
                <a16:creationId xmlns:a16="http://schemas.microsoft.com/office/drawing/2014/main" id="{F78130E9-AF3A-BABA-1678-D19E3EA70048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42</a:t>
            </a:r>
          </a:p>
        </xdr:txBody>
      </xdr:sp>
    </xdr:grpSp>
    <xdr:clientData/>
  </xdr:twoCellAnchor>
  <xdr:twoCellAnchor>
    <xdr:from>
      <xdr:col>8</xdr:col>
      <xdr:colOff>23822</xdr:colOff>
      <xdr:row>64</xdr:row>
      <xdr:rowOff>38664</xdr:rowOff>
    </xdr:from>
    <xdr:to>
      <xdr:col>11</xdr:col>
      <xdr:colOff>109274</xdr:colOff>
      <xdr:row>65</xdr:row>
      <xdr:rowOff>116457</xdr:rowOff>
    </xdr:to>
    <xdr:grpSp>
      <xdr:nvGrpSpPr>
        <xdr:cNvPr id="346" name="Group 345">
          <a:extLst>
            <a:ext uri="{FF2B5EF4-FFF2-40B4-BE49-F238E27FC236}">
              <a16:creationId xmlns:a16="http://schemas.microsoft.com/office/drawing/2014/main" id="{C8D53CA8-9CA6-4ED7-98D5-F0FE5E79A308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42952" y="12810447"/>
          <a:ext cx="1029670" cy="284858"/>
          <a:chOff x="954877" y="2135737"/>
          <a:chExt cx="1042837" cy="272997"/>
        </a:xfrm>
      </xdr:grpSpPr>
      <xdr:sp macro="" textlink="">
        <xdr:nvSpPr>
          <xdr:cNvPr id="347" name="Rectangle 346">
            <a:extLst>
              <a:ext uri="{FF2B5EF4-FFF2-40B4-BE49-F238E27FC236}">
                <a16:creationId xmlns:a16="http://schemas.microsoft.com/office/drawing/2014/main" id="{112B3A78-06FE-BCB3-B70F-394D1DA9F69B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(6)</a:t>
            </a:r>
          </a:p>
        </xdr:txBody>
      </xdr:sp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B07C5F7C-E59B-F3CD-1F56-4233F74FB8D1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43</a:t>
            </a:r>
          </a:p>
        </xdr:txBody>
      </xdr:sp>
    </xdr:grpSp>
    <xdr:clientData/>
  </xdr:twoCellAnchor>
  <xdr:twoCellAnchor>
    <xdr:from>
      <xdr:col>11</xdr:col>
      <xdr:colOff>125324</xdr:colOff>
      <xdr:row>61</xdr:row>
      <xdr:rowOff>136980</xdr:rowOff>
    </xdr:from>
    <xdr:to>
      <xdr:col>16</xdr:col>
      <xdr:colOff>40847</xdr:colOff>
      <xdr:row>62</xdr:row>
      <xdr:rowOff>130198</xdr:rowOff>
    </xdr:to>
    <xdr:cxnSp macro="">
      <xdr:nvCxnSpPr>
        <xdr:cNvPr id="349" name="Connector: Elbow 348">
          <a:extLst>
            <a:ext uri="{FF2B5EF4-FFF2-40B4-BE49-F238E27FC236}">
              <a16:creationId xmlns:a16="http://schemas.microsoft.com/office/drawing/2014/main" id="{BDB04117-AA44-42CF-85E0-09FE64BF589E}"/>
            </a:ext>
          </a:extLst>
        </xdr:cNvPr>
        <xdr:cNvCxnSpPr>
          <a:stCxn id="344" idx="3"/>
          <a:endCxn id="341" idx="0"/>
        </xdr:cNvCxnSpPr>
      </xdr:nvCxnSpPr>
      <xdr:spPr>
        <a:xfrm>
          <a:off x="3582899" y="11757480"/>
          <a:ext cx="1487148" cy="183718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109274</xdr:colOff>
      <xdr:row>64</xdr:row>
      <xdr:rowOff>36644</xdr:rowOff>
    </xdr:from>
    <xdr:to>
      <xdr:col>15</xdr:col>
      <xdr:colOff>251045</xdr:colOff>
      <xdr:row>64</xdr:row>
      <xdr:rowOff>181301</xdr:rowOff>
    </xdr:to>
    <xdr:cxnSp macro="">
      <xdr:nvCxnSpPr>
        <xdr:cNvPr id="350" name="Connector: Elbow 349">
          <a:extLst>
            <a:ext uri="{FF2B5EF4-FFF2-40B4-BE49-F238E27FC236}">
              <a16:creationId xmlns:a16="http://schemas.microsoft.com/office/drawing/2014/main" id="{8D24FA2F-EBC2-4AB4-8532-93695B9EE0D1}"/>
            </a:ext>
          </a:extLst>
        </xdr:cNvPr>
        <xdr:cNvCxnSpPr>
          <a:stCxn id="347" idx="3"/>
          <a:endCxn id="340" idx="2"/>
        </xdr:cNvCxnSpPr>
      </xdr:nvCxnSpPr>
      <xdr:spPr>
        <a:xfrm flipV="1">
          <a:off x="3566849" y="12228644"/>
          <a:ext cx="1399071" cy="144657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71542</xdr:colOff>
      <xdr:row>55</xdr:row>
      <xdr:rowOff>163739</xdr:rowOff>
    </xdr:from>
    <xdr:to>
      <xdr:col>15</xdr:col>
      <xdr:colOff>151588</xdr:colOff>
      <xdr:row>62</xdr:row>
      <xdr:rowOff>130198</xdr:rowOff>
    </xdr:to>
    <xdr:cxnSp macro="">
      <xdr:nvCxnSpPr>
        <xdr:cNvPr id="351" name="Connector: Elbow 350">
          <a:extLst>
            <a:ext uri="{FF2B5EF4-FFF2-40B4-BE49-F238E27FC236}">
              <a16:creationId xmlns:a16="http://schemas.microsoft.com/office/drawing/2014/main" id="{D0E524D3-FF02-4D21-B7FA-647668AD1A59}"/>
            </a:ext>
          </a:extLst>
        </xdr:cNvPr>
        <xdr:cNvCxnSpPr>
          <a:stCxn id="338" idx="0"/>
          <a:endCxn id="322" idx="2"/>
        </xdr:cNvCxnSpPr>
      </xdr:nvCxnSpPr>
      <xdr:spPr>
        <a:xfrm rot="5400000" flipH="1" flipV="1">
          <a:off x="4176460" y="11251196"/>
          <a:ext cx="1299959" cy="80046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69177</xdr:colOff>
      <xdr:row>49</xdr:row>
      <xdr:rowOff>79003</xdr:rowOff>
    </xdr:from>
    <xdr:ext cx="350417" cy="233205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16AFE991-5A67-4B4A-970F-A78B3A2D534D}"/>
            </a:ext>
          </a:extLst>
        </xdr:cNvPr>
        <xdr:cNvSpPr txBox="1"/>
      </xdr:nvSpPr>
      <xdr:spPr>
        <a:xfrm>
          <a:off x="4469727" y="9413503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L46</a:t>
          </a:r>
        </a:p>
      </xdr:txBody>
    </xdr:sp>
    <xdr:clientData/>
  </xdr:oneCellAnchor>
  <xdr:oneCellAnchor>
    <xdr:from>
      <xdr:col>12</xdr:col>
      <xdr:colOff>45758</xdr:colOff>
      <xdr:row>53</xdr:row>
      <xdr:rowOff>78717</xdr:rowOff>
    </xdr:from>
    <xdr:ext cx="350417" cy="233205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3D34D3EB-8BDF-4EF2-BBEB-562A2A87CE09}"/>
            </a:ext>
          </a:extLst>
        </xdr:cNvPr>
        <xdr:cNvSpPr txBox="1"/>
      </xdr:nvSpPr>
      <xdr:spPr>
        <a:xfrm>
          <a:off x="3817658" y="1017521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L47</a:t>
          </a:r>
        </a:p>
      </xdr:txBody>
    </xdr:sp>
    <xdr:clientData/>
  </xdr:oneCellAnchor>
  <xdr:oneCellAnchor>
    <xdr:from>
      <xdr:col>12</xdr:col>
      <xdr:colOff>81745</xdr:colOff>
      <xdr:row>56</xdr:row>
      <xdr:rowOff>45015</xdr:rowOff>
    </xdr:from>
    <xdr:ext cx="350417" cy="233205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FDA3EF47-2E81-48D0-BF83-0C30197D9723}"/>
            </a:ext>
          </a:extLst>
        </xdr:cNvPr>
        <xdr:cNvSpPr txBox="1"/>
      </xdr:nvSpPr>
      <xdr:spPr>
        <a:xfrm>
          <a:off x="3853645" y="1071301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L48</a:t>
          </a:r>
        </a:p>
      </xdr:txBody>
    </xdr:sp>
    <xdr:clientData/>
  </xdr:oneCellAnchor>
  <xdr:oneCellAnchor>
    <xdr:from>
      <xdr:col>14</xdr:col>
      <xdr:colOff>73748</xdr:colOff>
      <xdr:row>59</xdr:row>
      <xdr:rowOff>50157</xdr:rowOff>
    </xdr:from>
    <xdr:ext cx="350417" cy="233205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7C7D2FA3-7D71-44B3-BFDB-3E81A71C4F2F}"/>
            </a:ext>
          </a:extLst>
        </xdr:cNvPr>
        <xdr:cNvSpPr txBox="1"/>
      </xdr:nvSpPr>
      <xdr:spPr>
        <a:xfrm>
          <a:off x="4474298" y="1128965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L49</a:t>
          </a:r>
        </a:p>
      </xdr:txBody>
    </xdr:sp>
    <xdr:clientData/>
  </xdr:oneCellAnchor>
  <xdr:oneCellAnchor>
    <xdr:from>
      <xdr:col>12</xdr:col>
      <xdr:colOff>65466</xdr:colOff>
      <xdr:row>60</xdr:row>
      <xdr:rowOff>124699</xdr:rowOff>
    </xdr:from>
    <xdr:ext cx="350417" cy="233205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3DE2E31E-984B-4274-A256-F4EED1146FF8}"/>
            </a:ext>
          </a:extLst>
        </xdr:cNvPr>
        <xdr:cNvSpPr txBox="1"/>
      </xdr:nvSpPr>
      <xdr:spPr>
        <a:xfrm>
          <a:off x="3837366" y="1155469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L50</a:t>
          </a:r>
        </a:p>
      </xdr:txBody>
    </xdr:sp>
    <xdr:clientData/>
  </xdr:oneCellAnchor>
  <xdr:oneCellAnchor>
    <xdr:from>
      <xdr:col>11</xdr:col>
      <xdr:colOff>297378</xdr:colOff>
      <xdr:row>63</xdr:row>
      <xdr:rowOff>174396</xdr:rowOff>
    </xdr:from>
    <xdr:ext cx="350417" cy="233205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38901E6A-BC9C-4374-9886-5ED8ED65F705}"/>
            </a:ext>
          </a:extLst>
        </xdr:cNvPr>
        <xdr:cNvSpPr txBox="1"/>
      </xdr:nvSpPr>
      <xdr:spPr>
        <a:xfrm>
          <a:off x="3754953" y="1217589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L51</a:t>
          </a:r>
        </a:p>
      </xdr:txBody>
    </xdr:sp>
    <xdr:clientData/>
  </xdr:oneCellAnchor>
  <xdr:twoCellAnchor>
    <xdr:from>
      <xdr:col>14</xdr:col>
      <xdr:colOff>14279</xdr:colOff>
      <xdr:row>69</xdr:row>
      <xdr:rowOff>63523</xdr:rowOff>
    </xdr:from>
    <xdr:to>
      <xdr:col>16</xdr:col>
      <xdr:colOff>160218</xdr:colOff>
      <xdr:row>70</xdr:row>
      <xdr:rowOff>180102</xdr:rowOff>
    </xdr:to>
    <xdr:grpSp>
      <xdr:nvGrpSpPr>
        <xdr:cNvPr id="358" name="Group 357">
          <a:extLst>
            <a:ext uri="{FF2B5EF4-FFF2-40B4-BE49-F238E27FC236}">
              <a16:creationId xmlns:a16="http://schemas.microsoft.com/office/drawing/2014/main" id="{6D1DC3BE-89BA-8100-797B-52D16B9D0B8B}"/>
            </a:ext>
          </a:extLst>
        </xdr:cNvPr>
        <xdr:cNvGrpSpPr/>
      </xdr:nvGrpSpPr>
      <xdr:grpSpPr>
        <a:xfrm>
          <a:off x="4221844" y="13870632"/>
          <a:ext cx="775417" cy="323644"/>
          <a:chOff x="2013863" y="4128451"/>
          <a:chExt cx="773112" cy="276132"/>
        </a:xfrm>
      </xdr:grpSpPr>
      <xdr:grpSp>
        <xdr:nvGrpSpPr>
          <xdr:cNvPr id="359" name="Group 358">
            <a:extLst>
              <a:ext uri="{FF2B5EF4-FFF2-40B4-BE49-F238E27FC236}">
                <a16:creationId xmlns:a16="http://schemas.microsoft.com/office/drawing/2014/main" id="{DDCAF3C6-52BB-1ECF-BE50-10F106335449}"/>
              </a:ext>
            </a:extLst>
          </xdr:cNvPr>
          <xdr:cNvGrpSpPr/>
        </xdr:nvGrpSpPr>
        <xdr:grpSpPr>
          <a:xfrm>
            <a:off x="2321554" y="4128451"/>
            <a:ext cx="465421" cy="276132"/>
            <a:chOff x="2059356" y="3109972"/>
            <a:chExt cx="467400" cy="267310"/>
          </a:xfrm>
        </xdr:grpSpPr>
        <xdr:sp macro="" textlink="">
          <xdr:nvSpPr>
            <xdr:cNvPr id="361" name="Rectangle 360">
              <a:extLst>
                <a:ext uri="{FF2B5EF4-FFF2-40B4-BE49-F238E27FC236}">
                  <a16:creationId xmlns:a16="http://schemas.microsoft.com/office/drawing/2014/main" id="{C6E1F0BE-80BA-6BD6-6055-11180C6B081D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2" name="Rectangle 361">
              <a:extLst>
                <a:ext uri="{FF2B5EF4-FFF2-40B4-BE49-F238E27FC236}">
                  <a16:creationId xmlns:a16="http://schemas.microsoft.com/office/drawing/2014/main" id="{958B0B55-CCC2-51C5-7ABF-66ED2A4C025A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3" name="Rectangle 362">
              <a:extLst>
                <a:ext uri="{FF2B5EF4-FFF2-40B4-BE49-F238E27FC236}">
                  <a16:creationId xmlns:a16="http://schemas.microsoft.com/office/drawing/2014/main" id="{F1CE8CD3-CCFE-78ED-ED7C-EC59F2A317E4}"/>
                </a:ext>
              </a:extLst>
            </xdr:cNvPr>
            <xdr:cNvSpPr/>
          </xdr:nvSpPr>
          <xdr:spPr>
            <a:xfrm>
              <a:off x="223882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4" name="Rectangle 363">
              <a:extLst>
                <a:ext uri="{FF2B5EF4-FFF2-40B4-BE49-F238E27FC236}">
                  <a16:creationId xmlns:a16="http://schemas.microsoft.com/office/drawing/2014/main" id="{F4A035A4-E32D-459F-DFB4-C59F44634E95}"/>
                </a:ext>
              </a:extLst>
            </xdr:cNvPr>
            <xdr:cNvSpPr/>
          </xdr:nvSpPr>
          <xdr:spPr>
            <a:xfrm>
              <a:off x="2343914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5" name="Rectangle 364">
              <a:extLst>
                <a:ext uri="{FF2B5EF4-FFF2-40B4-BE49-F238E27FC236}">
                  <a16:creationId xmlns:a16="http://schemas.microsoft.com/office/drawing/2014/main" id="{5D1A1211-082C-B181-AD4F-69421C9465F7}"/>
                </a:ext>
              </a:extLst>
            </xdr:cNvPr>
            <xdr:cNvSpPr/>
          </xdr:nvSpPr>
          <xdr:spPr>
            <a:xfrm>
              <a:off x="2437856" y="3110448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55F77179-A38F-88FD-26FA-6852D9CE2D14}"/>
              </a:ext>
            </a:extLst>
          </xdr:cNvPr>
          <xdr:cNvSpPr txBox="1"/>
        </xdr:nvSpPr>
        <xdr:spPr>
          <a:xfrm>
            <a:off x="2013863" y="4131984"/>
            <a:ext cx="310239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44</a:t>
            </a:r>
          </a:p>
        </xdr:txBody>
      </xdr:sp>
    </xdr:grpSp>
    <xdr:clientData/>
  </xdr:twoCellAnchor>
  <xdr:twoCellAnchor>
    <xdr:from>
      <xdr:col>8</xdr:col>
      <xdr:colOff>20822</xdr:colOff>
      <xdr:row>67</xdr:row>
      <xdr:rowOff>132900</xdr:rowOff>
    </xdr:from>
    <xdr:to>
      <xdr:col>11</xdr:col>
      <xdr:colOff>106274</xdr:colOff>
      <xdr:row>69</xdr:row>
      <xdr:rowOff>10531</xdr:rowOff>
    </xdr:to>
    <xdr:grpSp>
      <xdr:nvGrpSpPr>
        <xdr:cNvPr id="366" name="Group 365">
          <a:extLst>
            <a:ext uri="{FF2B5EF4-FFF2-40B4-BE49-F238E27FC236}">
              <a16:creationId xmlns:a16="http://schemas.microsoft.com/office/drawing/2014/main" id="{2B398C1E-F0CF-0A8B-6D82-B5A615F9E121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39952" y="13525878"/>
          <a:ext cx="1029670" cy="291762"/>
          <a:chOff x="954877" y="2135737"/>
          <a:chExt cx="1042837" cy="272997"/>
        </a:xfrm>
      </xdr:grpSpPr>
      <xdr:sp macro="" textlink="">
        <xdr:nvSpPr>
          <xdr:cNvPr id="367" name="Rectangle 366">
            <a:extLst>
              <a:ext uri="{FF2B5EF4-FFF2-40B4-BE49-F238E27FC236}">
                <a16:creationId xmlns:a16="http://schemas.microsoft.com/office/drawing/2014/main" id="{7C4A3472-F5A5-02DE-B191-61D305E56AEA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(7)</a:t>
            </a:r>
          </a:p>
        </xdr:txBody>
      </xdr:sp>
      <xdr:sp macro="" textlink="">
        <xdr:nvSpPr>
          <xdr:cNvPr id="368" name="TextBox 367">
            <a:extLst>
              <a:ext uri="{FF2B5EF4-FFF2-40B4-BE49-F238E27FC236}">
                <a16:creationId xmlns:a16="http://schemas.microsoft.com/office/drawing/2014/main" id="{6A0828ED-D363-2BDD-FEED-B9C9F7F6A9B4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45</a:t>
            </a:r>
          </a:p>
        </xdr:txBody>
      </xdr:sp>
    </xdr:grpSp>
    <xdr:clientData/>
  </xdr:twoCellAnchor>
  <xdr:twoCellAnchor>
    <xdr:from>
      <xdr:col>8</xdr:col>
      <xdr:colOff>4772</xdr:colOff>
      <xdr:row>70</xdr:row>
      <xdr:rowOff>181539</xdr:rowOff>
    </xdr:from>
    <xdr:to>
      <xdr:col>11</xdr:col>
      <xdr:colOff>90224</xdr:colOff>
      <xdr:row>72</xdr:row>
      <xdr:rowOff>49782</xdr:rowOff>
    </xdr:to>
    <xdr:grpSp>
      <xdr:nvGrpSpPr>
        <xdr:cNvPr id="369" name="Group 368">
          <a:extLst>
            <a:ext uri="{FF2B5EF4-FFF2-40B4-BE49-F238E27FC236}">
              <a16:creationId xmlns:a16="http://schemas.microsoft.com/office/drawing/2014/main" id="{A2EBEC22-57BB-6430-8946-0E136CD6E4A8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23902" y="14195713"/>
          <a:ext cx="1029670" cy="282373"/>
          <a:chOff x="954877" y="2135737"/>
          <a:chExt cx="1042837" cy="272997"/>
        </a:xfrm>
      </xdr:grpSpPr>
      <xdr:sp macro="" textlink="">
        <xdr:nvSpPr>
          <xdr:cNvPr id="370" name="Rectangle 369">
            <a:extLst>
              <a:ext uri="{FF2B5EF4-FFF2-40B4-BE49-F238E27FC236}">
                <a16:creationId xmlns:a16="http://schemas.microsoft.com/office/drawing/2014/main" id="{667454F1-5920-4332-C783-4890787F9296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(7)</a:t>
            </a:r>
          </a:p>
        </xdr:txBody>
      </xdr:sp>
      <xdr:sp macro="" textlink="">
        <xdr:nvSpPr>
          <xdr:cNvPr id="371" name="TextBox 370">
            <a:extLst>
              <a:ext uri="{FF2B5EF4-FFF2-40B4-BE49-F238E27FC236}">
                <a16:creationId xmlns:a16="http://schemas.microsoft.com/office/drawing/2014/main" id="{95238161-F4C8-6B39-CCB9-C1060DBD98E0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46</a:t>
            </a:r>
          </a:p>
        </xdr:txBody>
      </xdr:sp>
    </xdr:grpSp>
    <xdr:clientData/>
  </xdr:twoCellAnchor>
  <xdr:twoCellAnchor>
    <xdr:from>
      <xdr:col>11</xdr:col>
      <xdr:colOff>106274</xdr:colOff>
      <xdr:row>68</xdr:row>
      <xdr:rowOff>70305</xdr:rowOff>
    </xdr:from>
    <xdr:to>
      <xdr:col>16</xdr:col>
      <xdr:colOff>21797</xdr:colOff>
      <xdr:row>69</xdr:row>
      <xdr:rowOff>63523</xdr:rowOff>
    </xdr:to>
    <xdr:cxnSp macro="">
      <xdr:nvCxnSpPr>
        <xdr:cNvPr id="372" name="Connector: Elbow 371">
          <a:extLst>
            <a:ext uri="{FF2B5EF4-FFF2-40B4-BE49-F238E27FC236}">
              <a16:creationId xmlns:a16="http://schemas.microsoft.com/office/drawing/2014/main" id="{F281ED49-9FCA-7BEA-8BAE-BC6ECFCF2764}"/>
            </a:ext>
          </a:extLst>
        </xdr:cNvPr>
        <xdr:cNvCxnSpPr>
          <a:stCxn id="367" idx="3"/>
          <a:endCxn id="364" idx="0"/>
        </xdr:cNvCxnSpPr>
      </xdr:nvCxnSpPr>
      <xdr:spPr>
        <a:xfrm>
          <a:off x="3363824" y="13824405"/>
          <a:ext cx="1487148" cy="202768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90224</xdr:colOff>
      <xdr:row>70</xdr:row>
      <xdr:rowOff>179519</xdr:rowOff>
    </xdr:from>
    <xdr:to>
      <xdr:col>15</xdr:col>
      <xdr:colOff>231995</xdr:colOff>
      <xdr:row>71</xdr:row>
      <xdr:rowOff>114626</xdr:rowOff>
    </xdr:to>
    <xdr:cxnSp macro="">
      <xdr:nvCxnSpPr>
        <xdr:cNvPr id="373" name="Connector: Elbow 372">
          <a:extLst>
            <a:ext uri="{FF2B5EF4-FFF2-40B4-BE49-F238E27FC236}">
              <a16:creationId xmlns:a16="http://schemas.microsoft.com/office/drawing/2014/main" id="{E187B4A8-D50E-766E-EEC1-A54122DC4ED8}"/>
            </a:ext>
          </a:extLst>
        </xdr:cNvPr>
        <xdr:cNvCxnSpPr>
          <a:stCxn id="370" idx="3"/>
          <a:endCxn id="363" idx="2"/>
        </xdr:cNvCxnSpPr>
      </xdr:nvCxnSpPr>
      <xdr:spPr>
        <a:xfrm flipV="1">
          <a:off x="3347774" y="14352719"/>
          <a:ext cx="1399071" cy="144657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54698</xdr:colOff>
      <xdr:row>65</xdr:row>
      <xdr:rowOff>193032</xdr:rowOff>
    </xdr:from>
    <xdr:ext cx="350417" cy="233205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306B278E-229A-1889-53BB-E3C6B5D37DD4}"/>
            </a:ext>
          </a:extLst>
        </xdr:cNvPr>
        <xdr:cNvSpPr txBox="1"/>
      </xdr:nvSpPr>
      <xdr:spPr>
        <a:xfrm>
          <a:off x="4262263" y="1317188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L52</a:t>
          </a:r>
        </a:p>
      </xdr:txBody>
    </xdr:sp>
    <xdr:clientData/>
  </xdr:oneCellAnchor>
  <xdr:oneCellAnchor>
    <xdr:from>
      <xdr:col>12</xdr:col>
      <xdr:colOff>46416</xdr:colOff>
      <xdr:row>67</xdr:row>
      <xdr:rowOff>58024</xdr:rowOff>
    </xdr:from>
    <xdr:ext cx="350417" cy="233205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FE6A1FD9-9D22-793E-D4F7-DAD3F53DAC10}"/>
            </a:ext>
          </a:extLst>
        </xdr:cNvPr>
        <xdr:cNvSpPr txBox="1"/>
      </xdr:nvSpPr>
      <xdr:spPr>
        <a:xfrm>
          <a:off x="3624503" y="13451002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L53</a:t>
          </a:r>
        </a:p>
      </xdr:txBody>
    </xdr:sp>
    <xdr:clientData/>
  </xdr:oneCellAnchor>
  <xdr:oneCellAnchor>
    <xdr:from>
      <xdr:col>11</xdr:col>
      <xdr:colOff>278328</xdr:colOff>
      <xdr:row>70</xdr:row>
      <xdr:rowOff>107721</xdr:rowOff>
    </xdr:from>
    <xdr:ext cx="350417" cy="233205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5E3DD29-3713-1E42-0703-23AF4AE21294}"/>
            </a:ext>
          </a:extLst>
        </xdr:cNvPr>
        <xdr:cNvSpPr txBox="1"/>
      </xdr:nvSpPr>
      <xdr:spPr>
        <a:xfrm>
          <a:off x="3541676" y="1412189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L54</a:t>
          </a:r>
        </a:p>
      </xdr:txBody>
    </xdr:sp>
    <xdr:clientData/>
  </xdr:oneCellAnchor>
  <xdr:twoCellAnchor>
    <xdr:from>
      <xdr:col>15</xdr:col>
      <xdr:colOff>52580</xdr:colOff>
      <xdr:row>64</xdr:row>
      <xdr:rowOff>36647</xdr:rowOff>
    </xdr:from>
    <xdr:to>
      <xdr:col>15</xdr:col>
      <xdr:colOff>161153</xdr:colOff>
      <xdr:row>69</xdr:row>
      <xdr:rowOff>63524</xdr:rowOff>
    </xdr:to>
    <xdr:cxnSp macro="">
      <xdr:nvCxnSpPr>
        <xdr:cNvPr id="377" name="Connector: Elbow 376">
          <a:extLst>
            <a:ext uri="{FF2B5EF4-FFF2-40B4-BE49-F238E27FC236}">
              <a16:creationId xmlns:a16="http://schemas.microsoft.com/office/drawing/2014/main" id="{F9D72363-2690-2C2B-0E32-DA5581526C78}"/>
            </a:ext>
          </a:extLst>
        </xdr:cNvPr>
        <xdr:cNvCxnSpPr>
          <a:stCxn id="361" idx="0"/>
          <a:endCxn id="339" idx="2"/>
        </xdr:cNvCxnSpPr>
      </xdr:nvCxnSpPr>
      <xdr:spPr>
        <a:xfrm rot="5400000" flipH="1" flipV="1">
          <a:off x="4084403" y="13435574"/>
          <a:ext cx="1074627" cy="108573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14279</xdr:colOff>
      <xdr:row>76</xdr:row>
      <xdr:rowOff>30393</xdr:rowOff>
    </xdr:from>
    <xdr:to>
      <xdr:col>16</xdr:col>
      <xdr:colOff>160218</xdr:colOff>
      <xdr:row>77</xdr:row>
      <xdr:rowOff>146972</xdr:rowOff>
    </xdr:to>
    <xdr:grpSp>
      <xdr:nvGrpSpPr>
        <xdr:cNvPr id="380" name="Group 379">
          <a:extLst>
            <a:ext uri="{FF2B5EF4-FFF2-40B4-BE49-F238E27FC236}">
              <a16:creationId xmlns:a16="http://schemas.microsoft.com/office/drawing/2014/main" id="{09A2D7A3-A550-A586-3A3D-260FEA864269}"/>
            </a:ext>
          </a:extLst>
        </xdr:cNvPr>
        <xdr:cNvGrpSpPr/>
      </xdr:nvGrpSpPr>
      <xdr:grpSpPr>
        <a:xfrm>
          <a:off x="4221844" y="15286958"/>
          <a:ext cx="775417" cy="323644"/>
          <a:chOff x="2013863" y="4128451"/>
          <a:chExt cx="773112" cy="276132"/>
        </a:xfrm>
      </xdr:grpSpPr>
      <xdr:grpSp>
        <xdr:nvGrpSpPr>
          <xdr:cNvPr id="381" name="Group 380">
            <a:extLst>
              <a:ext uri="{FF2B5EF4-FFF2-40B4-BE49-F238E27FC236}">
                <a16:creationId xmlns:a16="http://schemas.microsoft.com/office/drawing/2014/main" id="{2543B146-8E8A-95B3-D3EC-126B81B66C56}"/>
              </a:ext>
            </a:extLst>
          </xdr:cNvPr>
          <xdr:cNvGrpSpPr/>
        </xdr:nvGrpSpPr>
        <xdr:grpSpPr>
          <a:xfrm>
            <a:off x="2321554" y="4128451"/>
            <a:ext cx="465421" cy="276132"/>
            <a:chOff x="2059356" y="3109972"/>
            <a:chExt cx="467400" cy="267310"/>
          </a:xfrm>
        </xdr:grpSpPr>
        <xdr:sp macro="" textlink="">
          <xdr:nvSpPr>
            <xdr:cNvPr id="383" name="Rectangle 382">
              <a:extLst>
                <a:ext uri="{FF2B5EF4-FFF2-40B4-BE49-F238E27FC236}">
                  <a16:creationId xmlns:a16="http://schemas.microsoft.com/office/drawing/2014/main" id="{B02768EA-DD26-9E64-5ED9-DC95C9FCBCBB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4" name="Rectangle 383">
              <a:extLst>
                <a:ext uri="{FF2B5EF4-FFF2-40B4-BE49-F238E27FC236}">
                  <a16:creationId xmlns:a16="http://schemas.microsoft.com/office/drawing/2014/main" id="{4D286C37-3A8C-1136-86C4-9AF0CE54742E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5" name="Rectangle 384">
              <a:extLst>
                <a:ext uri="{FF2B5EF4-FFF2-40B4-BE49-F238E27FC236}">
                  <a16:creationId xmlns:a16="http://schemas.microsoft.com/office/drawing/2014/main" id="{72FC0220-DA0E-4206-08A4-E23B0CF68AA8}"/>
                </a:ext>
              </a:extLst>
            </xdr:cNvPr>
            <xdr:cNvSpPr/>
          </xdr:nvSpPr>
          <xdr:spPr>
            <a:xfrm>
              <a:off x="223882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6" name="Rectangle 385">
              <a:extLst>
                <a:ext uri="{FF2B5EF4-FFF2-40B4-BE49-F238E27FC236}">
                  <a16:creationId xmlns:a16="http://schemas.microsoft.com/office/drawing/2014/main" id="{FAC7D8F9-6EE5-2B19-AEC4-1DEFD1DF7040}"/>
                </a:ext>
              </a:extLst>
            </xdr:cNvPr>
            <xdr:cNvSpPr/>
          </xdr:nvSpPr>
          <xdr:spPr>
            <a:xfrm>
              <a:off x="2343914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7" name="Rectangle 386">
              <a:extLst>
                <a:ext uri="{FF2B5EF4-FFF2-40B4-BE49-F238E27FC236}">
                  <a16:creationId xmlns:a16="http://schemas.microsoft.com/office/drawing/2014/main" id="{E9143D78-6DCB-85C2-5659-17F83F0E1717}"/>
                </a:ext>
              </a:extLst>
            </xdr:cNvPr>
            <xdr:cNvSpPr/>
          </xdr:nvSpPr>
          <xdr:spPr>
            <a:xfrm>
              <a:off x="2437856" y="3110448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8AD6B028-93B8-9CA3-E7D5-F02E48252845}"/>
              </a:ext>
            </a:extLst>
          </xdr:cNvPr>
          <xdr:cNvSpPr txBox="1"/>
        </xdr:nvSpPr>
        <xdr:spPr>
          <a:xfrm>
            <a:off x="2013863" y="4131984"/>
            <a:ext cx="310239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47</a:t>
            </a:r>
          </a:p>
        </xdr:txBody>
      </xdr:sp>
    </xdr:grpSp>
    <xdr:clientData/>
  </xdr:twoCellAnchor>
  <xdr:twoCellAnchor>
    <xdr:from>
      <xdr:col>8</xdr:col>
      <xdr:colOff>20822</xdr:colOff>
      <xdr:row>74</xdr:row>
      <xdr:rowOff>99769</xdr:rowOff>
    </xdr:from>
    <xdr:to>
      <xdr:col>11</xdr:col>
      <xdr:colOff>106274</xdr:colOff>
      <xdr:row>75</xdr:row>
      <xdr:rowOff>184466</xdr:rowOff>
    </xdr:to>
    <xdr:grpSp>
      <xdr:nvGrpSpPr>
        <xdr:cNvPr id="388" name="Group 387">
          <a:extLst>
            <a:ext uri="{FF2B5EF4-FFF2-40B4-BE49-F238E27FC236}">
              <a16:creationId xmlns:a16="http://schemas.microsoft.com/office/drawing/2014/main" id="{EDF3EC8F-172B-1947-2260-D7A18483082C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39952" y="14942204"/>
          <a:ext cx="1029670" cy="291762"/>
          <a:chOff x="954877" y="2135737"/>
          <a:chExt cx="1042837" cy="272997"/>
        </a:xfrm>
      </xdr:grpSpPr>
      <xdr:sp macro="" textlink="">
        <xdr:nvSpPr>
          <xdr:cNvPr id="389" name="Rectangle 388">
            <a:extLst>
              <a:ext uri="{FF2B5EF4-FFF2-40B4-BE49-F238E27FC236}">
                <a16:creationId xmlns:a16="http://schemas.microsoft.com/office/drawing/2014/main" id="{4BAFAA68-AE14-CF82-74C0-ADEF12EE4E12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(8)</a:t>
            </a:r>
          </a:p>
        </xdr:txBody>
      </xdr:sp>
      <xdr:sp macro="" textlink="">
        <xdr:nvSpPr>
          <xdr:cNvPr id="390" name="TextBox 389">
            <a:extLst>
              <a:ext uri="{FF2B5EF4-FFF2-40B4-BE49-F238E27FC236}">
                <a16:creationId xmlns:a16="http://schemas.microsoft.com/office/drawing/2014/main" id="{4D3D3D61-E81F-4F3C-6E31-7A1783CCE25E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48</a:t>
            </a:r>
          </a:p>
        </xdr:txBody>
      </xdr:sp>
    </xdr:grpSp>
    <xdr:clientData/>
  </xdr:twoCellAnchor>
  <xdr:twoCellAnchor>
    <xdr:from>
      <xdr:col>8</xdr:col>
      <xdr:colOff>4772</xdr:colOff>
      <xdr:row>77</xdr:row>
      <xdr:rowOff>148409</xdr:rowOff>
    </xdr:from>
    <xdr:to>
      <xdr:col>11</xdr:col>
      <xdr:colOff>90224</xdr:colOff>
      <xdr:row>79</xdr:row>
      <xdr:rowOff>16651</xdr:rowOff>
    </xdr:to>
    <xdr:grpSp>
      <xdr:nvGrpSpPr>
        <xdr:cNvPr id="391" name="Group 390">
          <a:extLst>
            <a:ext uri="{FF2B5EF4-FFF2-40B4-BE49-F238E27FC236}">
              <a16:creationId xmlns:a16="http://schemas.microsoft.com/office/drawing/2014/main" id="{1731BFDF-335B-7CD4-B7C5-CBA6C844627D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23902" y="15612039"/>
          <a:ext cx="1029670" cy="282373"/>
          <a:chOff x="954877" y="2135737"/>
          <a:chExt cx="1042837" cy="272997"/>
        </a:xfrm>
      </xdr:grpSpPr>
      <xdr:sp macro="" textlink="">
        <xdr:nvSpPr>
          <xdr:cNvPr id="392" name="Rectangle 391">
            <a:extLst>
              <a:ext uri="{FF2B5EF4-FFF2-40B4-BE49-F238E27FC236}">
                <a16:creationId xmlns:a16="http://schemas.microsoft.com/office/drawing/2014/main" id="{49335448-00E8-FAB1-0549-A6E1CD2BEA14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(8)</a:t>
            </a:r>
          </a:p>
        </xdr:txBody>
      </xdr:sp>
      <xdr:sp macro="" textlink="">
        <xdr:nvSpPr>
          <xdr:cNvPr id="393" name="TextBox 392">
            <a:extLst>
              <a:ext uri="{FF2B5EF4-FFF2-40B4-BE49-F238E27FC236}">
                <a16:creationId xmlns:a16="http://schemas.microsoft.com/office/drawing/2014/main" id="{DA0846F0-F136-3F37-0AEC-5C204F85B31E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49</a:t>
            </a:r>
          </a:p>
        </xdr:txBody>
      </xdr:sp>
    </xdr:grpSp>
    <xdr:clientData/>
  </xdr:twoCellAnchor>
  <xdr:twoCellAnchor>
    <xdr:from>
      <xdr:col>11</xdr:col>
      <xdr:colOff>106274</xdr:colOff>
      <xdr:row>75</xdr:row>
      <xdr:rowOff>37174</xdr:rowOff>
    </xdr:from>
    <xdr:to>
      <xdr:col>16</xdr:col>
      <xdr:colOff>21797</xdr:colOff>
      <xdr:row>76</xdr:row>
      <xdr:rowOff>30393</xdr:rowOff>
    </xdr:to>
    <xdr:cxnSp macro="">
      <xdr:nvCxnSpPr>
        <xdr:cNvPr id="394" name="Connector: Elbow 393">
          <a:extLst>
            <a:ext uri="{FF2B5EF4-FFF2-40B4-BE49-F238E27FC236}">
              <a16:creationId xmlns:a16="http://schemas.microsoft.com/office/drawing/2014/main" id="{AD3805F8-A15C-8995-B64C-40A48EC44AD0}"/>
            </a:ext>
          </a:extLst>
        </xdr:cNvPr>
        <xdr:cNvCxnSpPr>
          <a:stCxn id="389" idx="3"/>
          <a:endCxn id="386" idx="0"/>
        </xdr:cNvCxnSpPr>
      </xdr:nvCxnSpPr>
      <xdr:spPr>
        <a:xfrm>
          <a:off x="3369622" y="15086674"/>
          <a:ext cx="1489218" cy="200284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90224</xdr:colOff>
      <xdr:row>77</xdr:row>
      <xdr:rowOff>146389</xdr:rowOff>
    </xdr:from>
    <xdr:to>
      <xdr:col>15</xdr:col>
      <xdr:colOff>231995</xdr:colOff>
      <xdr:row>78</xdr:row>
      <xdr:rowOff>81495</xdr:rowOff>
    </xdr:to>
    <xdr:cxnSp macro="">
      <xdr:nvCxnSpPr>
        <xdr:cNvPr id="395" name="Connector: Elbow 394">
          <a:extLst>
            <a:ext uri="{FF2B5EF4-FFF2-40B4-BE49-F238E27FC236}">
              <a16:creationId xmlns:a16="http://schemas.microsoft.com/office/drawing/2014/main" id="{9DA0C3C0-2AE1-7C73-EC6A-5362E0D3973B}"/>
            </a:ext>
          </a:extLst>
        </xdr:cNvPr>
        <xdr:cNvCxnSpPr>
          <a:stCxn id="392" idx="3"/>
          <a:endCxn id="385" idx="2"/>
        </xdr:cNvCxnSpPr>
      </xdr:nvCxnSpPr>
      <xdr:spPr>
        <a:xfrm flipV="1">
          <a:off x="3353572" y="15610019"/>
          <a:ext cx="1400727" cy="142172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54698</xdr:colOff>
      <xdr:row>72</xdr:row>
      <xdr:rowOff>159902</xdr:rowOff>
    </xdr:from>
    <xdr:ext cx="350417" cy="233205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A566AFEE-FC30-A2B4-E0B4-6461B4DACFCA}"/>
            </a:ext>
          </a:extLst>
        </xdr:cNvPr>
        <xdr:cNvSpPr txBox="1"/>
      </xdr:nvSpPr>
      <xdr:spPr>
        <a:xfrm>
          <a:off x="4262263" y="1458820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L55</a:t>
          </a:r>
        </a:p>
      </xdr:txBody>
    </xdr:sp>
    <xdr:clientData/>
  </xdr:oneCellAnchor>
  <xdr:oneCellAnchor>
    <xdr:from>
      <xdr:col>12</xdr:col>
      <xdr:colOff>46416</xdr:colOff>
      <xdr:row>74</xdr:row>
      <xdr:rowOff>24893</xdr:rowOff>
    </xdr:from>
    <xdr:ext cx="350417" cy="233205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8119799D-9208-92F7-C605-EE4C9EC97EC6}"/>
            </a:ext>
          </a:extLst>
        </xdr:cNvPr>
        <xdr:cNvSpPr txBox="1"/>
      </xdr:nvSpPr>
      <xdr:spPr>
        <a:xfrm>
          <a:off x="3624503" y="14867328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L56</a:t>
          </a:r>
        </a:p>
      </xdr:txBody>
    </xdr:sp>
    <xdr:clientData/>
  </xdr:oneCellAnchor>
  <xdr:oneCellAnchor>
    <xdr:from>
      <xdr:col>11</xdr:col>
      <xdr:colOff>278328</xdr:colOff>
      <xdr:row>77</xdr:row>
      <xdr:rowOff>74591</xdr:rowOff>
    </xdr:from>
    <xdr:ext cx="350417" cy="233205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3F1F03BC-8F29-646D-2A24-227EC1A7F79A}"/>
            </a:ext>
          </a:extLst>
        </xdr:cNvPr>
        <xdr:cNvSpPr txBox="1"/>
      </xdr:nvSpPr>
      <xdr:spPr>
        <a:xfrm>
          <a:off x="3541676" y="15538221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L57</a:t>
          </a:r>
        </a:p>
      </xdr:txBody>
    </xdr:sp>
    <xdr:clientData/>
  </xdr:oneCellAnchor>
  <xdr:twoCellAnchor>
    <xdr:from>
      <xdr:col>15</xdr:col>
      <xdr:colOff>52541</xdr:colOff>
      <xdr:row>70</xdr:row>
      <xdr:rowOff>179527</xdr:rowOff>
    </xdr:from>
    <xdr:to>
      <xdr:col>15</xdr:col>
      <xdr:colOff>142160</xdr:colOff>
      <xdr:row>76</xdr:row>
      <xdr:rowOff>30394</xdr:rowOff>
    </xdr:to>
    <xdr:cxnSp macro="">
      <xdr:nvCxnSpPr>
        <xdr:cNvPr id="399" name="Connector: Elbow 398">
          <a:extLst>
            <a:ext uri="{FF2B5EF4-FFF2-40B4-BE49-F238E27FC236}">
              <a16:creationId xmlns:a16="http://schemas.microsoft.com/office/drawing/2014/main" id="{76528B4C-CD0B-6F8B-BB33-547CB7F9F888}"/>
            </a:ext>
          </a:extLst>
        </xdr:cNvPr>
        <xdr:cNvCxnSpPr>
          <a:stCxn id="383" idx="0"/>
          <a:endCxn id="362" idx="2"/>
        </xdr:cNvCxnSpPr>
      </xdr:nvCxnSpPr>
      <xdr:spPr>
        <a:xfrm rot="5400000" flipH="1" flipV="1">
          <a:off x="4073026" y="14695520"/>
          <a:ext cx="1093258" cy="89619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312453</xdr:colOff>
      <xdr:row>82</xdr:row>
      <xdr:rowOff>171197</xdr:rowOff>
    </xdr:from>
    <xdr:to>
      <xdr:col>16</xdr:col>
      <xdr:colOff>143653</xdr:colOff>
      <xdr:row>84</xdr:row>
      <xdr:rowOff>80711</xdr:rowOff>
    </xdr:to>
    <xdr:grpSp>
      <xdr:nvGrpSpPr>
        <xdr:cNvPr id="400" name="Group 399">
          <a:extLst>
            <a:ext uri="{FF2B5EF4-FFF2-40B4-BE49-F238E27FC236}">
              <a16:creationId xmlns:a16="http://schemas.microsoft.com/office/drawing/2014/main" id="{DCFE4CA0-187B-EEE8-3972-9C8EBB41BC7D}"/>
            </a:ext>
          </a:extLst>
        </xdr:cNvPr>
        <xdr:cNvGrpSpPr/>
      </xdr:nvGrpSpPr>
      <xdr:grpSpPr>
        <a:xfrm>
          <a:off x="4205279" y="16670154"/>
          <a:ext cx="775417" cy="323644"/>
          <a:chOff x="2013863" y="4128451"/>
          <a:chExt cx="773112" cy="276132"/>
        </a:xfrm>
      </xdr:grpSpPr>
      <xdr:grpSp>
        <xdr:nvGrpSpPr>
          <xdr:cNvPr id="401" name="Group 400">
            <a:extLst>
              <a:ext uri="{FF2B5EF4-FFF2-40B4-BE49-F238E27FC236}">
                <a16:creationId xmlns:a16="http://schemas.microsoft.com/office/drawing/2014/main" id="{0FF4AD67-2EDB-7831-DFED-B9732EB24715}"/>
              </a:ext>
            </a:extLst>
          </xdr:cNvPr>
          <xdr:cNvGrpSpPr/>
        </xdr:nvGrpSpPr>
        <xdr:grpSpPr>
          <a:xfrm>
            <a:off x="2321554" y="4128451"/>
            <a:ext cx="465421" cy="276132"/>
            <a:chOff x="2059356" y="3109972"/>
            <a:chExt cx="467400" cy="267310"/>
          </a:xfrm>
        </xdr:grpSpPr>
        <xdr:sp macro="" textlink="">
          <xdr:nvSpPr>
            <xdr:cNvPr id="403" name="Rectangle 402">
              <a:extLst>
                <a:ext uri="{FF2B5EF4-FFF2-40B4-BE49-F238E27FC236}">
                  <a16:creationId xmlns:a16="http://schemas.microsoft.com/office/drawing/2014/main" id="{5AF997F2-D9AE-7BD4-F2BE-DB42C2CDA65F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4" name="Rectangle 403">
              <a:extLst>
                <a:ext uri="{FF2B5EF4-FFF2-40B4-BE49-F238E27FC236}">
                  <a16:creationId xmlns:a16="http://schemas.microsoft.com/office/drawing/2014/main" id="{F474A40A-6573-AA10-27AF-47239EF3D4AE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5" name="Rectangle 404">
              <a:extLst>
                <a:ext uri="{FF2B5EF4-FFF2-40B4-BE49-F238E27FC236}">
                  <a16:creationId xmlns:a16="http://schemas.microsoft.com/office/drawing/2014/main" id="{ABC093C3-C0DD-DB12-99ED-FA0659FFA591}"/>
                </a:ext>
              </a:extLst>
            </xdr:cNvPr>
            <xdr:cNvSpPr/>
          </xdr:nvSpPr>
          <xdr:spPr>
            <a:xfrm>
              <a:off x="223882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6" name="Rectangle 405">
              <a:extLst>
                <a:ext uri="{FF2B5EF4-FFF2-40B4-BE49-F238E27FC236}">
                  <a16:creationId xmlns:a16="http://schemas.microsoft.com/office/drawing/2014/main" id="{13842B9F-03AA-A209-FC9E-6CDBEDCF9933}"/>
                </a:ext>
              </a:extLst>
            </xdr:cNvPr>
            <xdr:cNvSpPr/>
          </xdr:nvSpPr>
          <xdr:spPr>
            <a:xfrm>
              <a:off x="2343914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7" name="Rectangle 406">
              <a:extLst>
                <a:ext uri="{FF2B5EF4-FFF2-40B4-BE49-F238E27FC236}">
                  <a16:creationId xmlns:a16="http://schemas.microsoft.com/office/drawing/2014/main" id="{61AF68DC-C0C4-6639-3E10-91E634CB9241}"/>
                </a:ext>
              </a:extLst>
            </xdr:cNvPr>
            <xdr:cNvSpPr/>
          </xdr:nvSpPr>
          <xdr:spPr>
            <a:xfrm>
              <a:off x="2437856" y="3110448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3C81174E-6A84-07D3-CED6-464B04808BEB}"/>
              </a:ext>
            </a:extLst>
          </xdr:cNvPr>
          <xdr:cNvSpPr txBox="1"/>
        </xdr:nvSpPr>
        <xdr:spPr>
          <a:xfrm>
            <a:off x="2013863" y="4131984"/>
            <a:ext cx="310239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50</a:t>
            </a:r>
          </a:p>
        </xdr:txBody>
      </xdr:sp>
    </xdr:grpSp>
    <xdr:clientData/>
  </xdr:twoCellAnchor>
  <xdr:twoCellAnchor>
    <xdr:from>
      <xdr:col>8</xdr:col>
      <xdr:colOff>4257</xdr:colOff>
      <xdr:row>81</xdr:row>
      <xdr:rowOff>33509</xdr:rowOff>
    </xdr:from>
    <xdr:to>
      <xdr:col>11</xdr:col>
      <xdr:colOff>89709</xdr:colOff>
      <xdr:row>82</xdr:row>
      <xdr:rowOff>118205</xdr:rowOff>
    </xdr:to>
    <xdr:grpSp>
      <xdr:nvGrpSpPr>
        <xdr:cNvPr id="408" name="Group 407">
          <a:extLst>
            <a:ext uri="{FF2B5EF4-FFF2-40B4-BE49-F238E27FC236}">
              <a16:creationId xmlns:a16="http://schemas.microsoft.com/office/drawing/2014/main" id="{81B7AA70-D15D-96D4-181D-731E030A5853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23387" y="16325400"/>
          <a:ext cx="1029670" cy="291762"/>
          <a:chOff x="954877" y="2135737"/>
          <a:chExt cx="1042837" cy="272997"/>
        </a:xfrm>
      </xdr:grpSpPr>
      <xdr:sp macro="" textlink="">
        <xdr:nvSpPr>
          <xdr:cNvPr id="409" name="Rectangle 408">
            <a:extLst>
              <a:ext uri="{FF2B5EF4-FFF2-40B4-BE49-F238E27FC236}">
                <a16:creationId xmlns:a16="http://schemas.microsoft.com/office/drawing/2014/main" id="{78502A2A-137C-BAE3-25F8-954C7DA5140D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(9)</a:t>
            </a:r>
          </a:p>
        </xdr:txBody>
      </xdr:sp>
      <xdr:sp macro="" textlink="">
        <xdr:nvSpPr>
          <xdr:cNvPr id="410" name="TextBox 409">
            <a:extLst>
              <a:ext uri="{FF2B5EF4-FFF2-40B4-BE49-F238E27FC236}">
                <a16:creationId xmlns:a16="http://schemas.microsoft.com/office/drawing/2014/main" id="{E2161F26-1A28-73EE-83FC-1672FBA603B6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51</a:t>
            </a:r>
          </a:p>
        </xdr:txBody>
      </xdr:sp>
    </xdr:grpSp>
    <xdr:clientData/>
  </xdr:twoCellAnchor>
  <xdr:twoCellAnchor>
    <xdr:from>
      <xdr:col>7</xdr:col>
      <xdr:colOff>302946</xdr:colOff>
      <xdr:row>84</xdr:row>
      <xdr:rowOff>82148</xdr:rowOff>
    </xdr:from>
    <xdr:to>
      <xdr:col>11</xdr:col>
      <xdr:colOff>73659</xdr:colOff>
      <xdr:row>85</xdr:row>
      <xdr:rowOff>157456</xdr:rowOff>
    </xdr:to>
    <xdr:grpSp>
      <xdr:nvGrpSpPr>
        <xdr:cNvPr id="411" name="Group 410">
          <a:extLst>
            <a:ext uri="{FF2B5EF4-FFF2-40B4-BE49-F238E27FC236}">
              <a16:creationId xmlns:a16="http://schemas.microsoft.com/office/drawing/2014/main" id="{458A0A3A-FD0E-B96D-5B2D-9C84A9990D5A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07337" y="16995235"/>
          <a:ext cx="1029670" cy="282373"/>
          <a:chOff x="954877" y="2135737"/>
          <a:chExt cx="1042837" cy="272997"/>
        </a:xfrm>
      </xdr:grpSpPr>
      <xdr:sp macro="" textlink="">
        <xdr:nvSpPr>
          <xdr:cNvPr id="412" name="Rectangle 411">
            <a:extLst>
              <a:ext uri="{FF2B5EF4-FFF2-40B4-BE49-F238E27FC236}">
                <a16:creationId xmlns:a16="http://schemas.microsoft.com/office/drawing/2014/main" id="{D9B4BF3C-9A0F-63E1-7486-1C2D7F111F1D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(9)</a:t>
            </a:r>
          </a:p>
        </xdr:txBody>
      </xdr:sp>
      <xdr:sp macro="" textlink="">
        <xdr:nvSpPr>
          <xdr:cNvPr id="413" name="TextBox 412">
            <a:extLst>
              <a:ext uri="{FF2B5EF4-FFF2-40B4-BE49-F238E27FC236}">
                <a16:creationId xmlns:a16="http://schemas.microsoft.com/office/drawing/2014/main" id="{BF862FA1-4FB6-8856-E8DB-7DEFAD61CAC1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52</a:t>
            </a:r>
          </a:p>
        </xdr:txBody>
      </xdr:sp>
    </xdr:grpSp>
    <xdr:clientData/>
  </xdr:twoCellAnchor>
  <xdr:twoCellAnchor>
    <xdr:from>
      <xdr:col>11</xdr:col>
      <xdr:colOff>89709</xdr:colOff>
      <xdr:row>81</xdr:row>
      <xdr:rowOff>177979</xdr:rowOff>
    </xdr:from>
    <xdr:to>
      <xdr:col>16</xdr:col>
      <xdr:colOff>5232</xdr:colOff>
      <xdr:row>82</xdr:row>
      <xdr:rowOff>171197</xdr:rowOff>
    </xdr:to>
    <xdr:cxnSp macro="">
      <xdr:nvCxnSpPr>
        <xdr:cNvPr id="414" name="Connector: Elbow 413">
          <a:extLst>
            <a:ext uri="{FF2B5EF4-FFF2-40B4-BE49-F238E27FC236}">
              <a16:creationId xmlns:a16="http://schemas.microsoft.com/office/drawing/2014/main" id="{E39B0270-F327-A6EE-B7CA-B46D05832D8A}"/>
            </a:ext>
          </a:extLst>
        </xdr:cNvPr>
        <xdr:cNvCxnSpPr>
          <a:stCxn id="409" idx="3"/>
          <a:endCxn id="406" idx="0"/>
        </xdr:cNvCxnSpPr>
      </xdr:nvCxnSpPr>
      <xdr:spPr>
        <a:xfrm>
          <a:off x="3353057" y="16469870"/>
          <a:ext cx="1489218" cy="200284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73659</xdr:colOff>
      <xdr:row>84</xdr:row>
      <xdr:rowOff>80128</xdr:rowOff>
    </xdr:from>
    <xdr:to>
      <xdr:col>15</xdr:col>
      <xdr:colOff>215430</xdr:colOff>
      <xdr:row>85</xdr:row>
      <xdr:rowOff>15235</xdr:rowOff>
    </xdr:to>
    <xdr:cxnSp macro="">
      <xdr:nvCxnSpPr>
        <xdr:cNvPr id="415" name="Connector: Elbow 414">
          <a:extLst>
            <a:ext uri="{FF2B5EF4-FFF2-40B4-BE49-F238E27FC236}">
              <a16:creationId xmlns:a16="http://schemas.microsoft.com/office/drawing/2014/main" id="{661DDE81-D4F0-32BB-DCB7-C1BE2EE40B3C}"/>
            </a:ext>
          </a:extLst>
        </xdr:cNvPr>
        <xdr:cNvCxnSpPr>
          <a:stCxn id="412" idx="3"/>
          <a:endCxn id="405" idx="2"/>
        </xdr:cNvCxnSpPr>
      </xdr:nvCxnSpPr>
      <xdr:spPr>
        <a:xfrm flipV="1">
          <a:off x="3337007" y="16993215"/>
          <a:ext cx="1400727" cy="142172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38133</xdr:colOff>
      <xdr:row>79</xdr:row>
      <xdr:rowOff>93641</xdr:rowOff>
    </xdr:from>
    <xdr:ext cx="350417" cy="233205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614CB4F2-0B45-BF86-48C2-F38E0B904328}"/>
            </a:ext>
          </a:extLst>
        </xdr:cNvPr>
        <xdr:cNvSpPr txBox="1"/>
      </xdr:nvSpPr>
      <xdr:spPr>
        <a:xfrm>
          <a:off x="4245698" y="15971402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L58</a:t>
          </a:r>
        </a:p>
      </xdr:txBody>
    </xdr:sp>
    <xdr:clientData/>
  </xdr:oneCellAnchor>
  <xdr:oneCellAnchor>
    <xdr:from>
      <xdr:col>12</xdr:col>
      <xdr:colOff>29851</xdr:colOff>
      <xdr:row>80</xdr:row>
      <xdr:rowOff>165698</xdr:rowOff>
    </xdr:from>
    <xdr:ext cx="350417" cy="233205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53678104-7944-2736-8E33-F12538638687}"/>
            </a:ext>
          </a:extLst>
        </xdr:cNvPr>
        <xdr:cNvSpPr txBox="1"/>
      </xdr:nvSpPr>
      <xdr:spPr>
        <a:xfrm>
          <a:off x="3607938" y="16250524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L59</a:t>
          </a:r>
        </a:p>
      </xdr:txBody>
    </xdr:sp>
    <xdr:clientData/>
  </xdr:oneCellAnchor>
  <xdr:oneCellAnchor>
    <xdr:from>
      <xdr:col>11</xdr:col>
      <xdr:colOff>261763</xdr:colOff>
      <xdr:row>84</xdr:row>
      <xdr:rowOff>8330</xdr:rowOff>
    </xdr:from>
    <xdr:ext cx="350417" cy="233205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F4609B77-56B1-35ED-F9CC-2A3D2A10C03C}"/>
            </a:ext>
          </a:extLst>
        </xdr:cNvPr>
        <xdr:cNvSpPr txBox="1"/>
      </xdr:nvSpPr>
      <xdr:spPr>
        <a:xfrm>
          <a:off x="3525111" y="1692141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L60</a:t>
          </a:r>
        </a:p>
      </xdr:txBody>
    </xdr:sp>
    <xdr:clientData/>
  </xdr:oneCellAnchor>
  <xdr:twoCellAnchor>
    <xdr:from>
      <xdr:col>15</xdr:col>
      <xdr:colOff>35977</xdr:colOff>
      <xdr:row>77</xdr:row>
      <xdr:rowOff>146396</xdr:rowOff>
    </xdr:from>
    <xdr:to>
      <xdr:col>15</xdr:col>
      <xdr:colOff>142161</xdr:colOff>
      <xdr:row>82</xdr:row>
      <xdr:rowOff>171197</xdr:rowOff>
    </xdr:to>
    <xdr:cxnSp macro="">
      <xdr:nvCxnSpPr>
        <xdr:cNvPr id="419" name="Connector: Elbow 418">
          <a:extLst>
            <a:ext uri="{FF2B5EF4-FFF2-40B4-BE49-F238E27FC236}">
              <a16:creationId xmlns:a16="http://schemas.microsoft.com/office/drawing/2014/main" id="{BDB0AA56-3DC8-FD7B-51A2-EC190026E634}"/>
            </a:ext>
          </a:extLst>
        </xdr:cNvPr>
        <xdr:cNvCxnSpPr>
          <a:stCxn id="403" idx="0"/>
          <a:endCxn id="384" idx="2"/>
        </xdr:cNvCxnSpPr>
      </xdr:nvCxnSpPr>
      <xdr:spPr>
        <a:xfrm rot="5400000" flipH="1" flipV="1">
          <a:off x="4081309" y="16086998"/>
          <a:ext cx="1060128" cy="106184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271040</xdr:colOff>
      <xdr:row>89</xdr:row>
      <xdr:rowOff>80089</xdr:rowOff>
    </xdr:from>
    <xdr:to>
      <xdr:col>16</xdr:col>
      <xdr:colOff>102240</xdr:colOff>
      <xdr:row>90</xdr:row>
      <xdr:rowOff>196668</xdr:rowOff>
    </xdr:to>
    <xdr:grpSp>
      <xdr:nvGrpSpPr>
        <xdr:cNvPr id="378" name="Group 377">
          <a:extLst>
            <a:ext uri="{FF2B5EF4-FFF2-40B4-BE49-F238E27FC236}">
              <a16:creationId xmlns:a16="http://schemas.microsoft.com/office/drawing/2014/main" id="{A9E8910F-E745-D34B-B20F-C4C51286932C}"/>
            </a:ext>
          </a:extLst>
        </xdr:cNvPr>
        <xdr:cNvGrpSpPr/>
      </xdr:nvGrpSpPr>
      <xdr:grpSpPr>
        <a:xfrm>
          <a:off x="4163866" y="18028502"/>
          <a:ext cx="775417" cy="323644"/>
          <a:chOff x="2013863" y="4128451"/>
          <a:chExt cx="773112" cy="276132"/>
        </a:xfrm>
      </xdr:grpSpPr>
      <xdr:grpSp>
        <xdr:nvGrpSpPr>
          <xdr:cNvPr id="379" name="Group 378">
            <a:extLst>
              <a:ext uri="{FF2B5EF4-FFF2-40B4-BE49-F238E27FC236}">
                <a16:creationId xmlns:a16="http://schemas.microsoft.com/office/drawing/2014/main" id="{C793679A-4DC1-76DB-CACD-D29F8B53246A}"/>
              </a:ext>
            </a:extLst>
          </xdr:cNvPr>
          <xdr:cNvGrpSpPr/>
        </xdr:nvGrpSpPr>
        <xdr:grpSpPr>
          <a:xfrm>
            <a:off x="2321554" y="4128451"/>
            <a:ext cx="465421" cy="276132"/>
            <a:chOff x="2059356" y="3109972"/>
            <a:chExt cx="467400" cy="267310"/>
          </a:xfrm>
        </xdr:grpSpPr>
        <xdr:sp macro="" textlink="">
          <xdr:nvSpPr>
            <xdr:cNvPr id="421" name="Rectangle 420">
              <a:extLst>
                <a:ext uri="{FF2B5EF4-FFF2-40B4-BE49-F238E27FC236}">
                  <a16:creationId xmlns:a16="http://schemas.microsoft.com/office/drawing/2014/main" id="{E6C43AC4-7A79-2906-886D-C0F999921C3D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2" name="Rectangle 421">
              <a:extLst>
                <a:ext uri="{FF2B5EF4-FFF2-40B4-BE49-F238E27FC236}">
                  <a16:creationId xmlns:a16="http://schemas.microsoft.com/office/drawing/2014/main" id="{E06B0AB9-2AF3-A93E-6B4B-3D59B046B5C5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3" name="Rectangle 422">
              <a:extLst>
                <a:ext uri="{FF2B5EF4-FFF2-40B4-BE49-F238E27FC236}">
                  <a16:creationId xmlns:a16="http://schemas.microsoft.com/office/drawing/2014/main" id="{EAF6F485-2D41-14CB-AC11-13EC1DB14625}"/>
                </a:ext>
              </a:extLst>
            </xdr:cNvPr>
            <xdr:cNvSpPr/>
          </xdr:nvSpPr>
          <xdr:spPr>
            <a:xfrm>
              <a:off x="223882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4" name="Rectangle 423">
              <a:extLst>
                <a:ext uri="{FF2B5EF4-FFF2-40B4-BE49-F238E27FC236}">
                  <a16:creationId xmlns:a16="http://schemas.microsoft.com/office/drawing/2014/main" id="{904E8418-0E08-8FCB-86AC-91BDB74B5286}"/>
                </a:ext>
              </a:extLst>
            </xdr:cNvPr>
            <xdr:cNvSpPr/>
          </xdr:nvSpPr>
          <xdr:spPr>
            <a:xfrm>
              <a:off x="2343914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5" name="Rectangle 424">
              <a:extLst>
                <a:ext uri="{FF2B5EF4-FFF2-40B4-BE49-F238E27FC236}">
                  <a16:creationId xmlns:a16="http://schemas.microsoft.com/office/drawing/2014/main" id="{DB0352CA-3722-0918-86A1-3CAD13F89247}"/>
                </a:ext>
              </a:extLst>
            </xdr:cNvPr>
            <xdr:cNvSpPr/>
          </xdr:nvSpPr>
          <xdr:spPr>
            <a:xfrm>
              <a:off x="2437856" y="3110448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20" name="TextBox 419">
            <a:extLst>
              <a:ext uri="{FF2B5EF4-FFF2-40B4-BE49-F238E27FC236}">
                <a16:creationId xmlns:a16="http://schemas.microsoft.com/office/drawing/2014/main" id="{066C6206-8738-70AC-5FB9-35BF93578C42}"/>
              </a:ext>
            </a:extLst>
          </xdr:cNvPr>
          <xdr:cNvSpPr txBox="1"/>
        </xdr:nvSpPr>
        <xdr:spPr>
          <a:xfrm>
            <a:off x="2013863" y="4131984"/>
            <a:ext cx="310239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53</a:t>
            </a:r>
          </a:p>
        </xdr:txBody>
      </xdr:sp>
    </xdr:grpSp>
    <xdr:clientData/>
  </xdr:twoCellAnchor>
  <xdr:twoCellAnchor>
    <xdr:from>
      <xdr:col>7</xdr:col>
      <xdr:colOff>277583</xdr:colOff>
      <xdr:row>87</xdr:row>
      <xdr:rowOff>149465</xdr:rowOff>
    </xdr:from>
    <xdr:to>
      <xdr:col>11</xdr:col>
      <xdr:colOff>48296</xdr:colOff>
      <xdr:row>89</xdr:row>
      <xdr:rowOff>27097</xdr:rowOff>
    </xdr:to>
    <xdr:grpSp>
      <xdr:nvGrpSpPr>
        <xdr:cNvPr id="426" name="Group 425">
          <a:extLst>
            <a:ext uri="{FF2B5EF4-FFF2-40B4-BE49-F238E27FC236}">
              <a16:creationId xmlns:a16="http://schemas.microsoft.com/office/drawing/2014/main" id="{7824602B-C05E-7079-B520-26F78A01F092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281974" y="17683748"/>
          <a:ext cx="1029670" cy="291762"/>
          <a:chOff x="954877" y="2135737"/>
          <a:chExt cx="1042837" cy="272997"/>
        </a:xfrm>
      </xdr:grpSpPr>
      <xdr:sp macro="" textlink="">
        <xdr:nvSpPr>
          <xdr:cNvPr id="427" name="Rectangle 426">
            <a:extLst>
              <a:ext uri="{FF2B5EF4-FFF2-40B4-BE49-F238E27FC236}">
                <a16:creationId xmlns:a16="http://schemas.microsoft.com/office/drawing/2014/main" id="{8BA2BA5C-768E-070B-5895-6E83053B0A92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(9)</a:t>
            </a:r>
          </a:p>
        </xdr:txBody>
      </xdr:sp>
      <xdr:sp macro="" textlink="">
        <xdr:nvSpPr>
          <xdr:cNvPr id="428" name="TextBox 427">
            <a:extLst>
              <a:ext uri="{FF2B5EF4-FFF2-40B4-BE49-F238E27FC236}">
                <a16:creationId xmlns:a16="http://schemas.microsoft.com/office/drawing/2014/main" id="{A7C177A8-BFFD-F5A3-BBB0-0D2D502870F9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54</a:t>
            </a:r>
          </a:p>
        </xdr:txBody>
      </xdr:sp>
    </xdr:grpSp>
    <xdr:clientData/>
  </xdr:twoCellAnchor>
  <xdr:twoCellAnchor>
    <xdr:from>
      <xdr:col>7</xdr:col>
      <xdr:colOff>261533</xdr:colOff>
      <xdr:row>90</xdr:row>
      <xdr:rowOff>198105</xdr:rowOff>
    </xdr:from>
    <xdr:to>
      <xdr:col>11</xdr:col>
      <xdr:colOff>32246</xdr:colOff>
      <xdr:row>92</xdr:row>
      <xdr:rowOff>66347</xdr:rowOff>
    </xdr:to>
    <xdr:grpSp>
      <xdr:nvGrpSpPr>
        <xdr:cNvPr id="429" name="Group 428">
          <a:extLst>
            <a:ext uri="{FF2B5EF4-FFF2-40B4-BE49-F238E27FC236}">
              <a16:creationId xmlns:a16="http://schemas.microsoft.com/office/drawing/2014/main" id="{A83DD524-41EF-0B93-B648-FFEDAF79C096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265924" y="18353583"/>
          <a:ext cx="1029670" cy="282373"/>
          <a:chOff x="954877" y="2135737"/>
          <a:chExt cx="1042837" cy="272997"/>
        </a:xfrm>
      </xdr:grpSpPr>
      <xdr:sp macro="" textlink="">
        <xdr:nvSpPr>
          <xdr:cNvPr id="430" name="Rectangle 429">
            <a:extLst>
              <a:ext uri="{FF2B5EF4-FFF2-40B4-BE49-F238E27FC236}">
                <a16:creationId xmlns:a16="http://schemas.microsoft.com/office/drawing/2014/main" id="{7933EAE9-843A-3FE6-641C-3E5B36DEA2A3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(9)</a:t>
            </a:r>
          </a:p>
        </xdr:txBody>
      </xdr:sp>
      <xdr:sp macro="" textlink="">
        <xdr:nvSpPr>
          <xdr:cNvPr id="431" name="TextBox 430">
            <a:extLst>
              <a:ext uri="{FF2B5EF4-FFF2-40B4-BE49-F238E27FC236}">
                <a16:creationId xmlns:a16="http://schemas.microsoft.com/office/drawing/2014/main" id="{0BAB83B3-60A9-501F-0478-CC513C59CE99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55</a:t>
            </a:r>
          </a:p>
        </xdr:txBody>
      </xdr:sp>
    </xdr:grpSp>
    <xdr:clientData/>
  </xdr:twoCellAnchor>
  <xdr:twoCellAnchor>
    <xdr:from>
      <xdr:col>11</xdr:col>
      <xdr:colOff>48296</xdr:colOff>
      <xdr:row>88</xdr:row>
      <xdr:rowOff>86870</xdr:rowOff>
    </xdr:from>
    <xdr:to>
      <xdr:col>15</xdr:col>
      <xdr:colOff>278558</xdr:colOff>
      <xdr:row>89</xdr:row>
      <xdr:rowOff>80089</xdr:rowOff>
    </xdr:to>
    <xdr:cxnSp macro="">
      <xdr:nvCxnSpPr>
        <xdr:cNvPr id="432" name="Connector: Elbow 431">
          <a:extLst>
            <a:ext uri="{FF2B5EF4-FFF2-40B4-BE49-F238E27FC236}">
              <a16:creationId xmlns:a16="http://schemas.microsoft.com/office/drawing/2014/main" id="{69380D89-D3E6-37DB-EAB0-D03B8957714B}"/>
            </a:ext>
          </a:extLst>
        </xdr:cNvPr>
        <xdr:cNvCxnSpPr>
          <a:stCxn id="427" idx="3"/>
          <a:endCxn id="424" idx="0"/>
        </xdr:cNvCxnSpPr>
      </xdr:nvCxnSpPr>
      <xdr:spPr>
        <a:xfrm>
          <a:off x="3311644" y="17828218"/>
          <a:ext cx="1489218" cy="200284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32246</xdr:colOff>
      <xdr:row>90</xdr:row>
      <xdr:rowOff>196085</xdr:rowOff>
    </xdr:from>
    <xdr:to>
      <xdr:col>15</xdr:col>
      <xdr:colOff>174017</xdr:colOff>
      <xdr:row>91</xdr:row>
      <xdr:rowOff>131192</xdr:rowOff>
    </xdr:to>
    <xdr:cxnSp macro="">
      <xdr:nvCxnSpPr>
        <xdr:cNvPr id="433" name="Connector: Elbow 432">
          <a:extLst>
            <a:ext uri="{FF2B5EF4-FFF2-40B4-BE49-F238E27FC236}">
              <a16:creationId xmlns:a16="http://schemas.microsoft.com/office/drawing/2014/main" id="{9B8756E3-741A-7992-AC69-35F64C3D2FD2}"/>
            </a:ext>
          </a:extLst>
        </xdr:cNvPr>
        <xdr:cNvCxnSpPr>
          <a:stCxn id="430" idx="3"/>
          <a:endCxn id="423" idx="2"/>
        </xdr:cNvCxnSpPr>
      </xdr:nvCxnSpPr>
      <xdr:spPr>
        <a:xfrm flipV="1">
          <a:off x="3295594" y="18351563"/>
          <a:ext cx="1400727" cy="142172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303177</xdr:colOff>
      <xdr:row>87</xdr:row>
      <xdr:rowOff>74589</xdr:rowOff>
    </xdr:from>
    <xdr:ext cx="350417" cy="233205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B1F0A743-5FCB-AE47-B3FF-92008121AF83}"/>
            </a:ext>
          </a:extLst>
        </xdr:cNvPr>
        <xdr:cNvSpPr txBox="1"/>
      </xdr:nvSpPr>
      <xdr:spPr>
        <a:xfrm>
          <a:off x="3566525" y="17608872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L62</a:t>
          </a:r>
        </a:p>
      </xdr:txBody>
    </xdr:sp>
    <xdr:clientData/>
  </xdr:oneCellAnchor>
  <xdr:oneCellAnchor>
    <xdr:from>
      <xdr:col>11</xdr:col>
      <xdr:colOff>220350</xdr:colOff>
      <xdr:row>90</xdr:row>
      <xdr:rowOff>124287</xdr:rowOff>
    </xdr:from>
    <xdr:ext cx="350417" cy="233205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27486A5B-2801-EC6D-7909-7678E1A0F0B4}"/>
            </a:ext>
          </a:extLst>
        </xdr:cNvPr>
        <xdr:cNvSpPr txBox="1"/>
      </xdr:nvSpPr>
      <xdr:spPr>
        <a:xfrm>
          <a:off x="3483698" y="1827976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L63</a:t>
          </a:r>
        </a:p>
      </xdr:txBody>
    </xdr:sp>
    <xdr:clientData/>
  </xdr:oneCellAnchor>
  <xdr:twoCellAnchor>
    <xdr:from>
      <xdr:col>14</xdr:col>
      <xdr:colOff>309303</xdr:colOff>
      <xdr:row>84</xdr:row>
      <xdr:rowOff>80135</xdr:rowOff>
    </xdr:from>
    <xdr:to>
      <xdr:col>15</xdr:col>
      <xdr:colOff>125596</xdr:colOff>
      <xdr:row>89</xdr:row>
      <xdr:rowOff>80089</xdr:rowOff>
    </xdr:to>
    <xdr:cxnSp macro="">
      <xdr:nvCxnSpPr>
        <xdr:cNvPr id="436" name="Connector: Elbow 435">
          <a:extLst>
            <a:ext uri="{FF2B5EF4-FFF2-40B4-BE49-F238E27FC236}">
              <a16:creationId xmlns:a16="http://schemas.microsoft.com/office/drawing/2014/main" id="{B2197615-D895-AAFC-B1AA-FD69652B2C11}"/>
            </a:ext>
          </a:extLst>
        </xdr:cNvPr>
        <xdr:cNvCxnSpPr>
          <a:stCxn id="421" idx="0"/>
          <a:endCxn id="404" idx="2"/>
        </xdr:cNvCxnSpPr>
      </xdr:nvCxnSpPr>
      <xdr:spPr>
        <a:xfrm rot="5400000" flipH="1" flipV="1">
          <a:off x="4064744" y="17445346"/>
          <a:ext cx="1035280" cy="131032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261763</xdr:colOff>
      <xdr:row>85</xdr:row>
      <xdr:rowOff>143337</xdr:rowOff>
    </xdr:from>
    <xdr:ext cx="350417" cy="233205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F2BE802B-DB85-92F1-C13A-FF67991C2D0B}"/>
            </a:ext>
          </a:extLst>
        </xdr:cNvPr>
        <xdr:cNvSpPr txBox="1"/>
      </xdr:nvSpPr>
      <xdr:spPr>
        <a:xfrm>
          <a:off x="4154589" y="1726348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L61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142875</xdr:rowOff>
    </xdr:from>
    <xdr:to>
      <xdr:col>16</xdr:col>
      <xdr:colOff>142875</xdr:colOff>
      <xdr:row>17</xdr:row>
      <xdr:rowOff>161925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E61729B-A09E-129D-8CB0-D5DE63A3EA82}"/>
            </a:ext>
          </a:extLst>
        </xdr:cNvPr>
        <xdr:cNvGrpSpPr/>
      </xdr:nvGrpSpPr>
      <xdr:grpSpPr>
        <a:xfrm>
          <a:off x="4514850" y="142875"/>
          <a:ext cx="5848350" cy="3257550"/>
          <a:chOff x="4514850" y="142875"/>
          <a:chExt cx="5848350" cy="325755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F9DCF05E-7088-8FF9-FD4B-08DF5F19C93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14850" y="142875"/>
            <a:ext cx="2914650" cy="3248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7A1C8889-BC0A-ED7E-4FA7-4CB43D23986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48550" y="152400"/>
            <a:ext cx="2914650" cy="3248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151162</xdr:colOff>
      <xdr:row>32</xdr:row>
      <xdr:rowOff>170667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9920E5-E997-A6EF-0124-8C6D4044E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04762" cy="62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0</xdr:row>
      <xdr:rowOff>0</xdr:rowOff>
    </xdr:from>
    <xdr:to>
      <xdr:col>26</xdr:col>
      <xdr:colOff>427312</xdr:colOff>
      <xdr:row>36</xdr:row>
      <xdr:rowOff>8667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B1FA7F-390D-94B9-6617-B222B5A6D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2150" y="0"/>
          <a:ext cx="10504762" cy="6866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107;&#26989;&#31649;&#29702;\98&#19979;&#25613;&#3041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50203SETDisk&#27161;&#28310;&#21407;&#2038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ADMINI~1\LOCALS~1\Temp\060812SETMONTHLY%200706.zip%20&#12398;&#19968;&#26178;&#12487;&#12451;&#12524;&#12463;&#12488;&#12522;%201\&#20107;&#26989;&#31649;&#29702;\98&#19979;&#25613;&#3041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Y://my%20documents/LAB%20&amp;%20Calibration%20System/On%20the%20Job/Power%20Point/MSA%203rd%20at%20The%20Tide%20Resort%20By%20DAS/5.Variable%20Gage%20GR&amp;R%20&amp;%20Anov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0&#35336;&#30011;\2000K&#21697;&#3127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://_BACK%20(NAM)/Job%20Transfer%20From%20P'Aum/FIXED%20ASSET/FIXED%20ASSET%202015/TEMPLEAT_FA%20%202015/TEMPLATE_FA%20OCT'1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UTER%20AUM\MONTHLY%20JOB\GMIS\Standard%20cost(New&amp;update)_JUN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0107;&#26989;&#31649;&#29702;\98&#19979;&#25613;&#3041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symix\My%20Documents\Achalee\Receiving%20group\Documents%20and%20Settings\symix\Local%20Settings\Temporary%20Internet%20Files\Content.IE5\W90JSZWJ\Isuzu\190Team2\NC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52099\Anirut\Isuzu\General\WINDOWS\TEMP\00PC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orary%20Internet%20Files\Content.IE5\0TIZCP2Z\FY98-00%20costs.xlw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ME\COMMON\&#36001;&#21209;&#31649;&#29702;\&#31649;&#29702;&#26412;&#37096;\97&#19979;&#35336;&#30011;\&#32076;&#36027;&#20104;&#31639;\&#32076;&#36027;&#30003;&#3553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://_BACK%20(NAM)/Job%20Transfer%20From%20P'Aum/FIXED%20ASSET/FIXED%20ASSET%202016/TEMPLEAT_FA%20%202016/TEMPLATE_FA%20APR'1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nstar%20Engineering\Audit\Audit%202005\Adjust\Consolidated%20Package\280406Combine%20L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52099\Anirut\Isuzu\General\WINDOWS\TEMP\00TFMC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D://EKKAPOL/spc/CONTROL%20CHAR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d005\my%20documents\WINDOWS\&#65411;&#65438;&#65405;&#65400;&#65412;&#65391;&#65420;&#65439;\190&#36914;&#25431;\190&#22577;&#21578;\plan%20book(ENGLISH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8023;&#22806;&#26376;&#2257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-3255-f1\vol1\HOME\COMMON\&#36001;&#21209;&#31649;&#29702;\&#31649;&#29702;&#26412;&#37096;\97&#19979;&#35336;&#30011;\&#32076;&#36027;&#20104;&#31639;\&#32076;&#36027;&#30003;&#3553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nstar%20Engineering\Audit\Audit%202005\Adjust\Summary%20Adjus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T-Data\Fixed%20Asset\FIXED%20ASSET%202020\Monthly%20Report\FA-Movement_Aug'20%20Simulation_FY2021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81451\&#32076;&#36027;&#20104;&#31639;\98&#19978;&#26399;\&#31649;)&#20104;&#3163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0\c\WINDOWS\Profiles\PC20\Desktop\&#3627;&#3609;&#3629;&#3609;&#3648;&#3629;&#3591;&#3592;&#3658;&#3632;\R&amp;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EMP\97IM&#35336;&#3001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81451\&#32076;&#36027;&#20104;&#31639;\98&#19978;&#26399;\&#21942;)&#20104;&#3163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73&#26399;&#36890;&#2639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DSS"/>
      <sheetName val="総括1"/>
      <sheetName val="総括2"/>
      <sheetName val="ＭＣ資金繰"/>
      <sheetName val="MCＫ３"/>
      <sheetName val="自DSS"/>
      <sheetName val="自Ｋ３"/>
      <sheetName val="自資金繰"/>
      <sheetName val="建材DSS"/>
      <sheetName val="建材資金繰"/>
      <sheetName val="建K3"/>
      <sheetName val="建売上"/>
      <sheetName val="建材新FMT"/>
      <sheetName val="上程計画"/>
      <sheetName val="Sheet1"/>
      <sheetName val="Master list"/>
      <sheetName val="ｸﾞﾛｰﾊﾞﾙ"/>
      <sheetName val="Part No."/>
      <sheetName val="Explanation"/>
      <sheetName val="Master"/>
      <sheetName val="Sheet4"/>
      <sheetName val="実績）明細"/>
      <sheetName val="Turn"/>
      <sheetName val="Master_list"/>
      <sheetName val="Part_No_"/>
      <sheetName val="DB選択項目マスター"/>
      <sheetName val="Master sheet"/>
      <sheetName val="Master_list1"/>
      <sheetName val="Part_No_1"/>
      <sheetName val="Master_sheet"/>
      <sheetName val="Master_list2"/>
      <sheetName val="Part_No_2"/>
      <sheetName val="Master_sheet1"/>
      <sheetName val="3.購入見込_Ver1.0"/>
      <sheetName val="Master_list3"/>
      <sheetName val="Part_No_3"/>
      <sheetName val="Master_sheet2"/>
      <sheetName val="3_購入見込_Ver1_0"/>
      <sheetName val="Master_list4"/>
      <sheetName val="Part_No_4"/>
      <sheetName val="Master_sheet3"/>
      <sheetName val="3_購入見込_Ver1_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事業計画BP"/>
      <sheetName val="comparison"/>
      <sheetName val="標準原価SC"/>
      <sheetName val="1品種別工程PQEP"/>
      <sheetName val="2材料費MC"/>
      <sheetName val="3直労DLC "/>
      <sheetName val="4配賦基準AS"/>
      <sheetName val="5間接費IDC"/>
      <sheetName val="6直接費テーブル"/>
      <sheetName val="7直接費DC"/>
      <sheetName val="8外注SC"/>
      <sheetName val="9償却総括表DST (2)"/>
      <sheetName val="10償却DP"/>
      <sheetName val="配賦基準"/>
      <sheetName val="手順書"/>
      <sheetName val="Manual"/>
      <sheetName val="工程表PT"/>
      <sheetName val="償却DP"/>
      <sheetName val="償却総括表DST (2)"/>
      <sheetName val="新規投資NI"/>
      <sheetName val="工程別償却"/>
      <sheetName val="fmt01"/>
      <sheetName val="format0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DSS"/>
      <sheetName val="総括1"/>
      <sheetName val="総括2"/>
      <sheetName val="ＭＣ資金繰"/>
      <sheetName val="MCＫ３"/>
      <sheetName val="自DSS"/>
      <sheetName val="自Ｋ３"/>
      <sheetName val="自資金繰"/>
      <sheetName val="建材DSS"/>
      <sheetName val="建材資金繰"/>
      <sheetName val="建K3"/>
      <sheetName val="建売上"/>
      <sheetName val="建材新FMT"/>
      <sheetName val="上程計画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Report_Range"/>
      <sheetName val="Report_Anova"/>
      <sheetName val="Chart-Op"/>
      <sheetName val="Chart-Par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実績"/>
      <sheetName val="Sheet1"/>
      <sheetName val="ﾌﾞﾗﾝﾄﾞ"/>
      <sheetName val="Sheet3"/>
      <sheetName val="Sheet4"/>
      <sheetName val="元ﾃﾞｰﾀｰ"/>
      <sheetName val="下期"/>
      <sheetName val="Sheet5"/>
      <sheetName val="Sheet6"/>
      <sheetName val="元ﾃﾞｰﾀｰ下期"/>
      <sheetName val="ｶﾃｺﾞﾘｰ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Ls_Alert"/>
      <sheetName val="Ls_XLB_WorkbookFile"/>
      <sheetName val="Vehicle(N)"/>
      <sheetName val="Ls_AgXLB_WorkbookFile"/>
      <sheetName val="Bldg(N)"/>
      <sheetName val="Com(N) (2)"/>
      <sheetName val="Fur(N)"/>
      <sheetName val="Imp(N)"/>
      <sheetName val="Land(N)"/>
      <sheetName val="Mac(N)"/>
      <sheetName val="NMac(N)"/>
      <sheetName val="SW(N)"/>
      <sheetName val="EQ(N)"/>
      <sheetName val="Die(N)"/>
      <sheetName val="Tool(N)"/>
      <sheetName val="Tem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master"/>
      <sheetName val="stdcost(SET)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DSS"/>
      <sheetName val="総括1"/>
      <sheetName val="総括2"/>
      <sheetName val="ＭＣ資金繰"/>
      <sheetName val="MCＫ３"/>
      <sheetName val="自DSS"/>
      <sheetName val="自Ｋ３"/>
      <sheetName val="自資金繰"/>
      <sheetName val="建材DSS"/>
      <sheetName val="建材資金繰"/>
      <sheetName val="建K3"/>
      <sheetName val="建売上"/>
      <sheetName val="建材新FMT"/>
      <sheetName val="上程計画"/>
      <sheetName val="Sheet1"/>
      <sheetName val="Master list"/>
      <sheetName val="ｸﾞﾛｰﾊﾞﾙ"/>
      <sheetName val="Part No."/>
      <sheetName val="Explanation"/>
      <sheetName val="Master"/>
      <sheetName val="Master sheet"/>
      <sheetName val="Sheet4"/>
      <sheetName val="実績）明細"/>
      <sheetName val="Turn"/>
      <sheetName val="Master_list"/>
      <sheetName val="Part_No_"/>
      <sheetName val="DB選択項目マスター"/>
      <sheetName val="Master_list1"/>
      <sheetName val="Part_No_1"/>
      <sheetName val="Master_sheet"/>
      <sheetName val="Master_list2"/>
      <sheetName val="Part_No_2"/>
      <sheetName val="Master_sheet1"/>
      <sheetName val="3.購入見込_Ver1.0"/>
      <sheetName val="Master_list3"/>
      <sheetName val="Part_No_3"/>
      <sheetName val="Master_sheet2"/>
      <sheetName val="3_購入見込_Ver1_0"/>
      <sheetName val="Master_list4"/>
      <sheetName val="Part_No_4"/>
      <sheetName val="Master_sheet3"/>
      <sheetName val="3_購入見込_Ver1_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AB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003"/>
      <sheetName val="NCAB"/>
      <sheetName val="MC3(main)"/>
      <sheetName val="MC1"/>
      <sheetName val="COST O.K."/>
      <sheetName val="Invoice"/>
      <sheetName val="COST_O_K_"/>
      <sheetName val="総合B"/>
      <sheetName val="MPL 技連"/>
      <sheetName val="342A Block"/>
      <sheetName val="Ref"/>
      <sheetName val="2005"/>
      <sheetName val="選酋表"/>
      <sheetName val="モデル賃金"/>
      <sheetName val="350CXZCO"/>
      <sheetName val="00PCM"/>
      <sheetName val="IMCT BODY"/>
      <sheetName val="New DYNA"/>
      <sheetName val="#REF"/>
      <sheetName val="ﾕｰｻﾞｰ設定"/>
      <sheetName val="ValueList"/>
      <sheetName val="SUM DLV"/>
      <sheetName val="ワースト部品ハンドワーク 09"/>
      <sheetName val="ワースト部品ハンドワーク08"/>
      <sheetName val="Balance Sheet"/>
      <sheetName val="ISO_250"/>
      <sheetName val="DIST"/>
      <sheetName val=" Sale Order -N"/>
      <sheetName val="COST_O_K_1"/>
      <sheetName val="MPL_技連"/>
      <sheetName val="342A_Block"/>
      <sheetName val="DATA BASE"/>
      <sheetName val="DATA F2"/>
      <sheetName val="Data"/>
      <sheetName val="cash flow 1"/>
      <sheetName val="cash flow 2"/>
      <sheetName val="8974450390 CP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 costs"/>
      <sheetName val="old format"/>
      <sheetName val="00 budget"/>
      <sheetName val="COGS 00"/>
      <sheetName val="98+99 COGs slide"/>
      <sheetName val="00 COGS summary"/>
      <sheetName val="00 COGS summary w rm"/>
      <sheetName val="00 COGS all cost down"/>
      <sheetName val="COGS SC yield adj"/>
      <sheetName val="COGS SC formula adj"/>
      <sheetName val="prod sum"/>
      <sheetName val="QPRs"/>
      <sheetName val="COGs %"/>
      <sheetName val="COGS summary"/>
      <sheetName val="controllable expenses"/>
      <sheetName val="OT"/>
      <sheetName val="rework"/>
      <sheetName val="freight $"/>
      <sheetName val="formula B|S"/>
      <sheetName val="formula U|C"/>
      <sheetName val="formula epoxy"/>
      <sheetName val="% formula B|S "/>
      <sheetName val="% formula U|C"/>
      <sheetName val="% formula epoxy"/>
      <sheetName val="98 &amp; 99 MT B|S"/>
      <sheetName val="98 &amp; 99 MT U|C"/>
      <sheetName val="98 &amp; 99 MT epoxy"/>
      <sheetName val="del %"/>
      <sheetName val="98 &amp; 99 output $"/>
      <sheetName val="B|S yearly"/>
      <sheetName val="U|C yearly"/>
      <sheetName val="epoxy yearly"/>
      <sheetName val="B|S 3 year"/>
      <sheetName val="U|C 3 year"/>
      <sheetName val="epoxy 3 year"/>
      <sheetName val="99 prod stats"/>
      <sheetName val="00 COGS obsolete"/>
      <sheetName val="98+99 prd st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表"/>
      <sheetName val="送付先"/>
      <sheetName val="連絡文"/>
      <sheetName val="連絡分２"/>
      <sheetName val="ﾘﾃｰﾙ合計"/>
      <sheetName val="ﾘﾃｰﾙ政策"/>
      <sheetName val="ﾘﾃｰﾙ第１"/>
      <sheetName val="ﾘﾃｰﾙ第２"/>
      <sheetName val="ﾘﾃｰﾙ第３"/>
      <sheetName val="販売進度(ｹﾐJGR別)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Ls_Alert"/>
      <sheetName val="Ls_XLB_WorkbookFile"/>
      <sheetName val="Vehicle(N)"/>
      <sheetName val="Ls_AgXLB_WorkbookFile"/>
      <sheetName val="Bldg(N)"/>
      <sheetName val="Com(N) (2)"/>
      <sheetName val="Fur(N)"/>
      <sheetName val="Imp(N)"/>
      <sheetName val="Land(N)"/>
      <sheetName val="Mac(N)"/>
      <sheetName val="NMac(N)"/>
      <sheetName val="SW(N)"/>
      <sheetName val="EQ(N)"/>
      <sheetName val="Die(N)"/>
      <sheetName val="Tool(N)"/>
      <sheetName val="Tem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3(main)"/>
      <sheetName val="MC1"/>
      <sheetName val="C3_N DC改造投資"/>
      <sheetName val="NEW003"/>
      <sheetName val="00TFMC1"/>
      <sheetName val="名簿データ"/>
      <sheetName val="Sheet1"/>
      <sheetName val="Macro1old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計算結果"/>
      <sheetName val="NCAB"/>
      <sheetName val="【資料】730改造投資"/>
      <sheetName val="Fiel List"/>
      <sheetName val="ﾍﾞﾀﾘｽﾄ"/>
      <sheetName val="RACK (CB)new"/>
      <sheetName val="email_address"/>
      <sheetName val="添付１"/>
      <sheetName val="2004"/>
      <sheetName val="4"/>
      <sheetName val="車体構成"/>
      <sheetName val="PARAMETRES"/>
      <sheetName val="DefectDetails"/>
      <sheetName val="CoilspringDetails"/>
      <sheetName val="7_2"/>
      <sheetName val="Input Oper.Lease"/>
      <sheetName val="P_NAME_DWG"/>
      <sheetName val="資料_700部品点数設定"/>
      <sheetName val="SPCSheet"/>
      <sheetName val="Eng-NonEng"/>
      <sheetName val="Sheet2"/>
      <sheetName val="BA (6)"/>
      <sheetName val="BE (6)"/>
      <sheetName val="DATA"/>
      <sheetName val="L123"/>
      <sheetName val="C3_N_DC改造投資1"/>
      <sheetName val="GMI-Part_&amp;_tooling_Cost_rev_01"/>
      <sheetName val="200P_SHEET"/>
      <sheetName val="Material"/>
      <sheetName val="TABLE(LINE CODE)"/>
      <sheetName val="MASTER"/>
      <sheetName val="使用部品一覧(原紙) (2)"/>
      <sheetName val="Order"/>
      <sheetName val="県別ﾏﾙﾁ"/>
      <sheetName val="HS HB NE dr 1"/>
      <sheetName val="Threshold"/>
      <sheetName val="Expect Depre."/>
      <sheetName val="FA Movement YE09"/>
      <sheetName val="Stock Aging"/>
      <sheetName val="8974450390 CPK"/>
      <sheetName val="GMIParttoolingCost"/>
      <sheetName val="ass'y 06-11'05"/>
      <sheetName val="ass'y 06-11'05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gram"/>
      <sheetName val="X BAR-R"/>
      <sheetName val="ATTRIBUTE"/>
    </sheetNames>
    <sheetDataSet>
      <sheetData sheetId="0"/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ofclose .xl"/>
      <sheetName val="Histogram"/>
      <sheetName val="s-code"/>
      <sheetName val="分類"/>
      <sheetName val="国ｺｰﾄﾞ"/>
      <sheetName val="_ofclose _xl"/>
      <sheetName val="#ofclose__xl"/>
      <sheetName val="_ofclose__xl"/>
      <sheetName val="NEW003"/>
      <sheetName val="MC3(main)"/>
      <sheetName val="MC1"/>
      <sheetName val="TIRE読み替え表"/>
      <sheetName val="SLAB"/>
      <sheetName val="SA1 - Process information"/>
      <sheetName val="Production Database 399"/>
      <sheetName val="plan book(ENGLISH)"/>
      <sheetName val="OD"/>
      <sheetName val="ValueList"/>
      <sheetName val="RACK (CB)new"/>
      <sheetName val="data for graph"/>
      <sheetName val="big SLAB"/>
      <sheetName val="TR250"/>
      <sheetName val="Sep"/>
      <sheetName val="CALIFMAGNO"/>
      <sheetName val="DeliverySchedule"/>
      <sheetName val="Cover"/>
      <sheetName val="Received"/>
      <sheetName val="EXT - ID"/>
      <sheetName val="EXT - OD"/>
      <sheetName val="EXT-thickness"/>
      <sheetName val="CUTTING-LENGTH"/>
      <sheetName val="INSP - ID "/>
      <sheetName val="INSP - OD "/>
      <sheetName val="INSP- ID (B)"/>
      <sheetName val="INSP- OD (B)"/>
      <sheetName val="SUMMARY Ppk (new)"/>
      <sheetName val="Problem "/>
      <sheetName val="NAVI"/>
      <sheetName val="64164"/>
      <sheetName val="RATE"/>
      <sheetName val="MASTER"/>
      <sheetName val="09 vol"/>
      <sheetName val="６２３Ｔ"/>
      <sheetName val="Report Cover"/>
      <sheetName val="North America ITI"/>
      <sheetName val="EE"/>
      <sheetName val="CamshaftWeeklyMonitoring"/>
      <sheetName val="Data2"/>
      <sheetName val="Sup-BSK1"/>
      <sheetName val="NCAB"/>
      <sheetName val="S0納入便"/>
      <sheetName val="#ofclose__xl1"/>
      <sheetName val="plan_book(ENGLISH)"/>
      <sheetName val="_ofclose__xl1"/>
      <sheetName val="SA1_-_Process_information"/>
      <sheetName val="09_vol"/>
      <sheetName val="#ofclose"/>
      <sheetName val="Calc."/>
      <sheetName val="損益予算Muster"/>
      <sheetName val="Update packing size 2PX Rev00"/>
      <sheetName val="FAV"/>
      <sheetName val="GPC"/>
      <sheetName val="JAH"/>
      <sheetName val="COMB BT"/>
      <sheetName val="2008 forcast 7929"/>
      <sheetName val="set date"/>
      <sheetName val="ROYALTY(RUNG)"/>
      <sheetName val="96・(・・)"/>
      <sheetName val="①評価項目_メーカー"/>
      <sheetName val="Q_WORK"/>
      <sheetName val="COST_SUMMARY"/>
      <sheetName val="LRR Summary"/>
      <sheetName val="設計設定一覧"/>
      <sheetName val="JOB_FO"/>
      <sheetName val="Summary Plant"/>
      <sheetName val="EXT_-_ID"/>
      <sheetName val="EXT_-_OD"/>
      <sheetName val="INSP_-_ID_"/>
      <sheetName val="INSP_-_OD_"/>
      <sheetName val="INSP-_ID_(B)"/>
      <sheetName val="INSP-_OD_(B)"/>
      <sheetName val="SUMMARY_Ppk_(new)"/>
      <sheetName val="Problem_"/>
      <sheetName val="Report_Cover"/>
      <sheetName val="Sheet2"/>
      <sheetName val="Q_ITRN_NG"/>
      <sheetName val="status"/>
      <sheetName val="MPL 技連"/>
      <sheetName val="342A Block"/>
      <sheetName val="TH00_12080000"/>
      <sheetName val="ｸﾞﾗﾌﾃﾞｰﾀ"/>
      <sheetName val="Macro1"/>
      <sheetName val="ตั๋วเงินรับ"/>
      <sheetName val="部品ﾘｽﾄ"/>
      <sheetName val="74上"/>
      <sheetName val="名簿データ"/>
      <sheetName val="รายชื่อ"/>
      <sheetName val="DATA"/>
      <sheetName val="72直直明細.下"/>
      <sheetName val="CIPA"/>
      <sheetName val="名番品コスト(元ﾃﾞｰﾀ)"/>
      <sheetName val="#ofclose .xlﾆǺ_x0000_贈"/>
      <sheetName val="#ofclose .xlﾆǺ_x0000_ꅸ"/>
      <sheetName val="Parts list_070413"/>
      <sheetName val="mont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 refreshError="1"/>
      <sheetData sheetId="10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外月報"/>
      <sheetName val="#REF"/>
      <sheetName val="海外月報.XLS"/>
      <sheetName val="%E6%B5%B7%E5%A4%96%E6%9C%88%E5%"/>
      <sheetName val="管理表"/>
    </sheetNames>
    <definedNames>
      <definedName name="SEU月報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表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 Entries - AJE"/>
      <sheetName val="Journal Entries - RJE"/>
      <sheetName val="Membership"/>
      <sheetName val="Cutoff DN,CN"/>
      <sheetName val="Sheet1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-FY20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経予管98上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1"/>
      <sheetName val="laroux"/>
      <sheetName val="Page1"/>
      <sheetName val="DataSheet2"/>
      <sheetName val="Sheet1แก้32,33sheet อื่นด้วย"/>
      <sheetName val="Sheet2"/>
      <sheetName val="Sheet3"/>
      <sheetName val="Sheet4"/>
      <sheetName val="Sheet5"/>
      <sheetName val="Sheet6"/>
      <sheetName val="Sheet7"/>
      <sheetName val="Sheet.8"/>
      <sheetName val="Sheet.9"/>
      <sheetName val="Sheet.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กราฟรวม ME-W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IM計画"/>
      <sheetName val="#REF"/>
      <sheetName val="97IM計画.XLS"/>
      <sheetName val="97IM%E8%A8%88%E7%94%BB.XLS"/>
    </sheetNames>
    <definedNames>
      <definedName name="入力"/>
      <definedName name="出力"/>
      <definedName name="条件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経予営98上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貸倒２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3C7F74-2AB7-4AEE-AD06-5D8888878F06}" name="Table3" displayName="Table3" ref="A1:B11" totalsRowShown="0">
  <autoFilter ref="A1:B11" xr:uid="{EE3C7F74-2AB7-4AEE-AD06-5D8888878F06}"/>
  <sortState xmlns:xlrd2="http://schemas.microsoft.com/office/spreadsheetml/2017/richdata2" ref="A2:B11">
    <sortCondition ref="A1:A1792"/>
  </sortState>
  <tableColumns count="2">
    <tableColumn id="1" xr3:uid="{91F8379D-D599-4D05-8AEE-7EB7F99F61D6}" name="ab" dataDxfId="1"/>
    <tableColumn id="2" xr3:uid="{68F34A77-94A6-4B31-8460-52E425F68085}" name="2/21/25 11:35:2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13257A-F8AB-40C3-B0BE-8C8E60B1475D}" name="Table1" displayName="Table1" ref="A3:D37" totalsRowShown="0" headerRowDxfId="13" dataDxfId="12">
  <autoFilter ref="A3:D37" xr:uid="{6613257A-F8AB-40C3-B0BE-8C8E60B1475D}"/>
  <tableColumns count="4">
    <tableColumn id="1" xr3:uid="{F754043A-B3EC-4D52-85F9-7692294759A7}" name="Device name" dataDxfId="11"/>
    <tableColumn id="2" xr3:uid="{9F075D11-5092-42C3-A548-F73DE0DE140F}" name="Point" dataDxfId="10"/>
    <tableColumn id="3" xr3:uid="{BD781F67-2167-48B5-9FB9-4349E055E4A7}" name="Start" dataDxfId="9"/>
    <tableColumn id="4" xr3:uid="{CE2A8242-9F55-4CAE-9026-C532DEEDA1A7}" name="End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1BD3F5-F03E-4FE7-AE31-EF35EF057D43}" name="Table2" displayName="Table2" ref="A41:D75" totalsRowShown="0" headerRowDxfId="7" dataDxfId="6">
  <autoFilter ref="A41:D75" xr:uid="{3D1BD3F5-F03E-4FE7-AE31-EF35EF057D43}"/>
  <tableColumns count="4">
    <tableColumn id="1" xr3:uid="{05204E84-BE00-459B-8560-1C3CA73337F7}" name="Device name" dataDxfId="5"/>
    <tableColumn id="2" xr3:uid="{8A4084BB-9016-4935-B297-0540489E4166}" name="Point" dataDxfId="4"/>
    <tableColumn id="3" xr3:uid="{30498C28-1CC8-4A66-B1DD-5325CFDAC9D6}" name="Start" dataDxfId="3"/>
    <tableColumn id="4" xr3:uid="{B0045C58-8FDF-4A97-9980-39EADC90F067}" name="En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97C4-96EE-40C0-AC44-2099108F1970}">
  <dimension ref="A1:BN157"/>
  <sheetViews>
    <sheetView showGridLines="0" topLeftCell="AI1" zoomScale="115" zoomScaleNormal="115" workbookViewId="0">
      <selection activeCell="AQ9" sqref="AQ9:AR9"/>
    </sheetView>
  </sheetViews>
  <sheetFormatPr defaultColWidth="4.7109375" defaultRowHeight="16.5" outlineLevelRow="1"/>
  <cols>
    <col min="1" max="1" width="1.7109375" style="6" customWidth="1"/>
    <col min="2" max="18" width="4.7109375" style="6"/>
    <col min="19" max="21" width="4.7109375" style="1"/>
    <col min="22" max="26" width="7.140625" style="1" customWidth="1"/>
    <col min="27" max="27" width="1.7109375" style="6" customWidth="1"/>
    <col min="28" max="33" width="4.7109375" style="6"/>
    <col min="34" max="34" width="22.5703125" style="6" customWidth="1"/>
    <col min="35" max="51" width="4.7109375" style="6"/>
    <col min="52" max="52" width="7.140625" style="6" customWidth="1"/>
    <col min="53" max="16384" width="4.7109375" style="6"/>
  </cols>
  <sheetData>
    <row r="1" spans="1:66" ht="16.149999999999999" customHeight="1" thickBot="1">
      <c r="A1" s="9"/>
      <c r="B1" s="16" t="s">
        <v>0</v>
      </c>
      <c r="C1" s="10"/>
      <c r="D1" s="10"/>
      <c r="E1" s="17" t="s">
        <v>1</v>
      </c>
      <c r="F1" s="17"/>
      <c r="G1" s="17"/>
      <c r="H1" s="17"/>
      <c r="I1" s="17"/>
      <c r="J1" s="17"/>
      <c r="K1" s="17"/>
      <c r="L1" s="17"/>
      <c r="M1" s="10"/>
      <c r="N1" s="10"/>
      <c r="O1" s="10"/>
      <c r="P1" s="10"/>
      <c r="Q1" s="10"/>
      <c r="R1" s="10"/>
      <c r="S1" s="3"/>
      <c r="T1" s="3"/>
      <c r="U1" s="3"/>
      <c r="W1" s="18"/>
      <c r="X1" s="18"/>
      <c r="Y1" s="18"/>
      <c r="Z1" s="18" t="s">
        <v>2</v>
      </c>
      <c r="AA1" s="11"/>
      <c r="AD1" s="107" t="s">
        <v>3</v>
      </c>
      <c r="AE1" s="100"/>
      <c r="AF1" s="100"/>
      <c r="AG1" s="107" t="s">
        <v>4</v>
      </c>
      <c r="AH1" s="101"/>
      <c r="AI1" s="99" t="s">
        <v>5</v>
      </c>
      <c r="AJ1" s="100"/>
      <c r="AK1" s="100"/>
      <c r="AL1" s="101"/>
      <c r="AM1" s="107" t="s">
        <v>6</v>
      </c>
      <c r="AN1" s="100"/>
      <c r="AO1" s="100"/>
      <c r="AP1" s="101"/>
      <c r="AQ1" s="108" t="s">
        <v>7</v>
      </c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08" t="s">
        <v>8</v>
      </c>
      <c r="BE1" s="134"/>
      <c r="BF1" s="134"/>
      <c r="BG1" s="134"/>
      <c r="BH1" s="134"/>
      <c r="BI1" s="134"/>
      <c r="BJ1" s="134"/>
      <c r="BK1" s="134"/>
      <c r="BL1" s="134"/>
      <c r="BM1" s="134"/>
      <c r="BN1" s="109"/>
    </row>
    <row r="2" spans="1:66" ht="17.25" thickBot="1">
      <c r="A2" s="19"/>
      <c r="V2" s="14"/>
      <c r="W2" s="42"/>
      <c r="X2" s="95" t="s">
        <v>9</v>
      </c>
      <c r="Y2" s="95"/>
      <c r="Z2" s="96"/>
      <c r="AA2" s="20"/>
      <c r="AD2" s="102"/>
      <c r="AE2" s="73"/>
      <c r="AF2" s="73"/>
      <c r="AG2" s="102"/>
      <c r="AH2" s="103"/>
      <c r="AI2" s="102"/>
      <c r="AJ2" s="73"/>
      <c r="AK2" s="73"/>
      <c r="AL2" s="103"/>
      <c r="AM2" s="102"/>
      <c r="AN2" s="73"/>
      <c r="AO2" s="73"/>
      <c r="AP2" s="103"/>
      <c r="AQ2" s="99" t="s">
        <v>10</v>
      </c>
      <c r="AR2" s="101"/>
      <c r="AS2" s="136" t="s">
        <v>11</v>
      </c>
      <c r="AT2" s="102" t="s">
        <v>12</v>
      </c>
      <c r="AU2" s="103"/>
      <c r="AV2" s="104" t="s">
        <v>5</v>
      </c>
      <c r="AW2" s="105"/>
      <c r="AX2" s="105"/>
      <c r="AY2" s="106"/>
      <c r="AZ2" s="104" t="s">
        <v>13</v>
      </c>
      <c r="BA2" s="105"/>
      <c r="BB2" s="105"/>
      <c r="BC2" s="106"/>
      <c r="BD2" s="136" t="s">
        <v>11</v>
      </c>
      <c r="BE2" s="99" t="s">
        <v>12</v>
      </c>
      <c r="BF2" s="101"/>
      <c r="BG2" s="99" t="s">
        <v>5</v>
      </c>
      <c r="BH2" s="100"/>
      <c r="BI2" s="100"/>
      <c r="BJ2" s="101"/>
      <c r="BK2" s="108" t="s">
        <v>13</v>
      </c>
      <c r="BL2" s="134"/>
      <c r="BM2" s="134"/>
      <c r="BN2" s="109"/>
    </row>
    <row r="3" spans="1:66" ht="17.25" thickBot="1">
      <c r="A3" s="19"/>
      <c r="B3" s="5" t="s">
        <v>14</v>
      </c>
      <c r="AA3" s="20"/>
      <c r="AC3" s="1"/>
      <c r="AD3" s="104"/>
      <c r="AE3" s="105"/>
      <c r="AF3" s="105"/>
      <c r="AG3" s="104"/>
      <c r="AH3" s="106"/>
      <c r="AI3" s="104"/>
      <c r="AJ3" s="105"/>
      <c r="AK3" s="105"/>
      <c r="AL3" s="106"/>
      <c r="AM3" s="104"/>
      <c r="AN3" s="105"/>
      <c r="AO3" s="105"/>
      <c r="AP3" s="106"/>
      <c r="AQ3" s="104"/>
      <c r="AR3" s="106"/>
      <c r="AS3" s="137"/>
      <c r="AT3" s="104"/>
      <c r="AU3" s="106"/>
      <c r="AV3" s="108" t="s">
        <v>15</v>
      </c>
      <c r="AW3" s="109"/>
      <c r="AX3" s="108" t="s">
        <v>16</v>
      </c>
      <c r="AY3" s="109"/>
      <c r="AZ3" s="108" t="s">
        <v>15</v>
      </c>
      <c r="BA3" s="109"/>
      <c r="BB3" s="108" t="s">
        <v>16</v>
      </c>
      <c r="BC3" s="109"/>
      <c r="BD3" s="137"/>
      <c r="BE3" s="104"/>
      <c r="BF3" s="106"/>
      <c r="BG3" s="108" t="s">
        <v>15</v>
      </c>
      <c r="BH3" s="109"/>
      <c r="BI3" s="108" t="s">
        <v>16</v>
      </c>
      <c r="BJ3" s="109"/>
      <c r="BK3" s="108" t="s">
        <v>15</v>
      </c>
      <c r="BL3" s="109"/>
      <c r="BM3" s="108" t="s">
        <v>16</v>
      </c>
      <c r="BN3" s="109"/>
    </row>
    <row r="4" spans="1:66">
      <c r="A4" s="19"/>
      <c r="M4" s="8"/>
      <c r="N4" s="8"/>
      <c r="O4" s="8"/>
      <c r="P4" s="8"/>
      <c r="Q4" s="8"/>
      <c r="R4" s="8"/>
      <c r="W4" s="22" t="s">
        <v>17</v>
      </c>
      <c r="X4" s="97" t="s">
        <v>18</v>
      </c>
      <c r="Y4" s="135"/>
      <c r="Z4" s="24" t="s">
        <v>19</v>
      </c>
      <c r="AA4" s="20"/>
      <c r="AC4" s="1"/>
      <c r="AD4" s="129" t="s">
        <v>20</v>
      </c>
      <c r="AE4" s="130"/>
      <c r="AF4" s="131"/>
      <c r="AG4" s="129" t="s">
        <v>21</v>
      </c>
      <c r="AH4" s="131"/>
      <c r="AI4" s="129" t="s">
        <v>22</v>
      </c>
      <c r="AJ4" s="130"/>
      <c r="AK4" s="130"/>
      <c r="AL4" s="131"/>
      <c r="AM4" s="129" t="s">
        <v>23</v>
      </c>
      <c r="AN4" s="130"/>
      <c r="AO4" s="130"/>
      <c r="AP4" s="131"/>
      <c r="AQ4" s="140" t="s">
        <v>24</v>
      </c>
      <c r="AR4" s="141"/>
      <c r="AS4" s="44">
        <v>64</v>
      </c>
      <c r="AT4" s="129" t="s">
        <v>25</v>
      </c>
      <c r="AU4" s="131"/>
      <c r="AV4" s="129">
        <v>0</v>
      </c>
      <c r="AW4" s="131"/>
      <c r="AX4" s="129" t="s">
        <v>26</v>
      </c>
      <c r="AY4" s="131"/>
      <c r="AZ4" s="129">
        <v>1400</v>
      </c>
      <c r="BA4" s="131"/>
      <c r="BB4" s="129" t="s">
        <v>27</v>
      </c>
      <c r="BC4" s="131"/>
      <c r="BD4" s="44">
        <v>64</v>
      </c>
      <c r="BE4" s="129" t="s">
        <v>28</v>
      </c>
      <c r="BF4" s="131"/>
      <c r="BG4" s="129">
        <v>100</v>
      </c>
      <c r="BH4" s="131"/>
      <c r="BI4" s="129" t="s">
        <v>29</v>
      </c>
      <c r="BJ4" s="131"/>
      <c r="BK4" s="129">
        <v>1000</v>
      </c>
      <c r="BL4" s="131"/>
      <c r="BM4" s="129" t="s">
        <v>30</v>
      </c>
      <c r="BN4" s="131"/>
    </row>
    <row r="5" spans="1:66">
      <c r="A5" s="19"/>
      <c r="W5" s="23" t="s">
        <v>31</v>
      </c>
      <c r="X5" s="119" t="s">
        <v>32</v>
      </c>
      <c r="Y5" s="120"/>
      <c r="Z5" s="27" t="s">
        <v>33</v>
      </c>
      <c r="AA5" s="20"/>
      <c r="AD5" s="126" t="s">
        <v>34</v>
      </c>
      <c r="AE5" s="127"/>
      <c r="AF5" s="128"/>
      <c r="AG5" s="124" t="s">
        <v>21</v>
      </c>
      <c r="AH5" s="125"/>
      <c r="AI5" s="126" t="s">
        <v>35</v>
      </c>
      <c r="AJ5" s="127"/>
      <c r="AK5" s="127"/>
      <c r="AL5" s="128"/>
      <c r="AM5" s="126" t="s">
        <v>23</v>
      </c>
      <c r="AN5" s="127"/>
      <c r="AO5" s="127"/>
      <c r="AP5" s="128"/>
      <c r="AQ5" s="138" t="s">
        <v>24</v>
      </c>
      <c r="AR5" s="139"/>
      <c r="AS5" s="43">
        <v>64</v>
      </c>
      <c r="AT5" s="124" t="s">
        <v>25</v>
      </c>
      <c r="AU5" s="125"/>
      <c r="AV5" s="124">
        <v>0</v>
      </c>
      <c r="AW5" s="125"/>
      <c r="AX5" s="124" t="s">
        <v>26</v>
      </c>
      <c r="AY5" s="125"/>
      <c r="AZ5" s="124">
        <v>1500</v>
      </c>
      <c r="BA5" s="125"/>
      <c r="BB5" s="124" t="s">
        <v>36</v>
      </c>
      <c r="BC5" s="125"/>
      <c r="BD5" s="45">
        <v>64</v>
      </c>
      <c r="BE5" s="124" t="s">
        <v>28</v>
      </c>
      <c r="BF5" s="125"/>
      <c r="BG5" s="124">
        <v>100</v>
      </c>
      <c r="BH5" s="125"/>
      <c r="BI5" s="124" t="s">
        <v>29</v>
      </c>
      <c r="BJ5" s="125"/>
      <c r="BK5" s="124">
        <v>1100</v>
      </c>
      <c r="BL5" s="125"/>
      <c r="BM5" s="124" t="s">
        <v>37</v>
      </c>
      <c r="BN5" s="125"/>
    </row>
    <row r="6" spans="1:66">
      <c r="A6" s="19"/>
      <c r="W6" s="23" t="s">
        <v>38</v>
      </c>
      <c r="X6" s="119" t="s">
        <v>39</v>
      </c>
      <c r="Y6" s="120"/>
      <c r="Z6" s="26" t="s">
        <v>33</v>
      </c>
      <c r="AA6" s="20"/>
      <c r="AD6" s="126" t="s">
        <v>40</v>
      </c>
      <c r="AE6" s="127"/>
      <c r="AF6" s="128"/>
      <c r="AG6" s="124" t="s">
        <v>21</v>
      </c>
      <c r="AH6" s="125"/>
      <c r="AI6" s="124" t="s">
        <v>41</v>
      </c>
      <c r="AJ6" s="70"/>
      <c r="AK6" s="70"/>
      <c r="AL6" s="125"/>
      <c r="AM6" s="124" t="s">
        <v>23</v>
      </c>
      <c r="AN6" s="70"/>
      <c r="AO6" s="70"/>
      <c r="AP6" s="125"/>
      <c r="AQ6" s="138" t="s">
        <v>24</v>
      </c>
      <c r="AR6" s="139"/>
      <c r="AS6" s="46">
        <v>64</v>
      </c>
      <c r="AT6" s="124" t="s">
        <v>25</v>
      </c>
      <c r="AU6" s="125"/>
      <c r="AV6" s="124">
        <v>0</v>
      </c>
      <c r="AW6" s="125"/>
      <c r="AX6" s="124" t="s">
        <v>26</v>
      </c>
      <c r="AY6" s="125"/>
      <c r="AZ6" s="124">
        <v>1600</v>
      </c>
      <c r="BA6" s="125"/>
      <c r="BB6" s="124" t="s">
        <v>42</v>
      </c>
      <c r="BC6" s="125"/>
      <c r="BD6" s="45">
        <v>64</v>
      </c>
      <c r="BE6" s="124" t="s">
        <v>28</v>
      </c>
      <c r="BF6" s="125"/>
      <c r="BG6" s="124">
        <v>100</v>
      </c>
      <c r="BH6" s="125"/>
      <c r="BI6" s="124" t="s">
        <v>29</v>
      </c>
      <c r="BJ6" s="125"/>
      <c r="BK6" s="124">
        <v>1200</v>
      </c>
      <c r="BL6" s="125"/>
      <c r="BM6" s="124" t="s">
        <v>43</v>
      </c>
      <c r="BN6" s="125"/>
    </row>
    <row r="7" spans="1:66">
      <c r="A7" s="19"/>
      <c r="W7" s="23" t="s">
        <v>44</v>
      </c>
      <c r="X7" s="117"/>
      <c r="Y7" s="118"/>
      <c r="Z7" s="34" t="s">
        <v>45</v>
      </c>
      <c r="AA7" s="20"/>
      <c r="AD7" s="126" t="s">
        <v>46</v>
      </c>
      <c r="AE7" s="127"/>
      <c r="AF7" s="128"/>
      <c r="AG7" s="124" t="s">
        <v>21</v>
      </c>
      <c r="AH7" s="125"/>
      <c r="AI7" s="124" t="s">
        <v>47</v>
      </c>
      <c r="AJ7" s="70"/>
      <c r="AK7" s="70"/>
      <c r="AL7" s="125"/>
      <c r="AM7" s="124" t="s">
        <v>23</v>
      </c>
      <c r="AN7" s="70"/>
      <c r="AO7" s="70"/>
      <c r="AP7" s="125"/>
      <c r="AQ7" s="138" t="s">
        <v>24</v>
      </c>
      <c r="AR7" s="139"/>
      <c r="AS7" s="46">
        <v>64</v>
      </c>
      <c r="AT7" s="124" t="s">
        <v>25</v>
      </c>
      <c r="AU7" s="125"/>
      <c r="AV7" s="124">
        <v>0</v>
      </c>
      <c r="AW7" s="125"/>
      <c r="AX7" s="124" t="s">
        <v>26</v>
      </c>
      <c r="AY7" s="125"/>
      <c r="AZ7" s="124">
        <v>1700</v>
      </c>
      <c r="BA7" s="125"/>
      <c r="BB7" s="124" t="s">
        <v>48</v>
      </c>
      <c r="BC7" s="125"/>
      <c r="BD7" s="45">
        <v>64</v>
      </c>
      <c r="BE7" s="124" t="s">
        <v>28</v>
      </c>
      <c r="BF7" s="125"/>
      <c r="BG7" s="124">
        <v>100</v>
      </c>
      <c r="BH7" s="125"/>
      <c r="BI7" s="124" t="s">
        <v>29</v>
      </c>
      <c r="BJ7" s="125"/>
      <c r="BK7" s="124">
        <v>1300</v>
      </c>
      <c r="BL7" s="125"/>
      <c r="BM7" s="124" t="s">
        <v>49</v>
      </c>
      <c r="BN7" s="125"/>
    </row>
    <row r="8" spans="1:66">
      <c r="A8" s="19"/>
      <c r="W8" s="32" t="s">
        <v>50</v>
      </c>
      <c r="X8" s="117"/>
      <c r="Y8" s="118"/>
      <c r="Z8" s="34" t="s">
        <v>51</v>
      </c>
      <c r="AA8" s="20"/>
      <c r="AD8" s="126" t="s">
        <v>52</v>
      </c>
      <c r="AE8" s="127"/>
      <c r="AF8" s="128"/>
      <c r="AG8" s="124" t="s">
        <v>21</v>
      </c>
      <c r="AH8" s="125"/>
      <c r="AI8" s="124" t="s">
        <v>53</v>
      </c>
      <c r="AJ8" s="70"/>
      <c r="AK8" s="70"/>
      <c r="AL8" s="125"/>
      <c r="AM8" s="124" t="s">
        <v>23</v>
      </c>
      <c r="AN8" s="70"/>
      <c r="AO8" s="70"/>
      <c r="AP8" s="125"/>
      <c r="AQ8" s="138" t="s">
        <v>24</v>
      </c>
      <c r="AR8" s="139"/>
      <c r="AS8" s="46">
        <v>64</v>
      </c>
      <c r="AT8" s="124" t="s">
        <v>25</v>
      </c>
      <c r="AU8" s="125"/>
      <c r="AV8" s="124">
        <v>0</v>
      </c>
      <c r="AW8" s="125"/>
      <c r="AX8" s="124" t="s">
        <v>26</v>
      </c>
      <c r="AY8" s="125"/>
      <c r="AZ8" s="124">
        <v>1800</v>
      </c>
      <c r="BA8" s="125"/>
      <c r="BB8" s="124" t="s">
        <v>54</v>
      </c>
      <c r="BC8" s="125"/>
      <c r="BD8" s="45">
        <v>64</v>
      </c>
      <c r="BE8" s="124" t="s">
        <v>28</v>
      </c>
      <c r="BF8" s="125"/>
      <c r="BG8" s="124">
        <v>100</v>
      </c>
      <c r="BH8" s="125"/>
      <c r="BI8" s="124" t="s">
        <v>29</v>
      </c>
      <c r="BJ8" s="125"/>
      <c r="BK8" s="124">
        <v>1400</v>
      </c>
      <c r="BL8" s="125"/>
      <c r="BM8" s="124" t="s">
        <v>27</v>
      </c>
      <c r="BN8" s="125"/>
    </row>
    <row r="9" spans="1:66">
      <c r="A9" s="19"/>
      <c r="W9" s="32" t="s">
        <v>55</v>
      </c>
      <c r="X9" s="117"/>
      <c r="Y9" s="118"/>
      <c r="Z9" s="34" t="s">
        <v>51</v>
      </c>
      <c r="AA9" s="20"/>
      <c r="AD9" s="121" t="s">
        <v>56</v>
      </c>
      <c r="AE9" s="122"/>
      <c r="AF9" s="123"/>
      <c r="AG9" s="124" t="s">
        <v>21</v>
      </c>
      <c r="AH9" s="125"/>
      <c r="AI9" s="124" t="s">
        <v>57</v>
      </c>
      <c r="AJ9" s="70"/>
      <c r="AK9" s="70"/>
      <c r="AL9" s="125"/>
      <c r="AM9" s="124" t="s">
        <v>23</v>
      </c>
      <c r="AN9" s="70"/>
      <c r="AO9" s="70"/>
      <c r="AP9" s="125"/>
      <c r="AQ9" s="138" t="s">
        <v>24</v>
      </c>
      <c r="AR9" s="139"/>
      <c r="AS9" s="46">
        <v>64</v>
      </c>
      <c r="AT9" s="124" t="s">
        <v>25</v>
      </c>
      <c r="AU9" s="125"/>
      <c r="AV9" s="124">
        <v>0</v>
      </c>
      <c r="AW9" s="125"/>
      <c r="AX9" s="124" t="s">
        <v>26</v>
      </c>
      <c r="AY9" s="125"/>
      <c r="AZ9" s="124">
        <v>1900</v>
      </c>
      <c r="BA9" s="125"/>
      <c r="BB9" s="124" t="s">
        <v>58</v>
      </c>
      <c r="BC9" s="125"/>
      <c r="BD9" s="45">
        <v>64</v>
      </c>
      <c r="BE9" s="124" t="s">
        <v>28</v>
      </c>
      <c r="BF9" s="125"/>
      <c r="BG9" s="124">
        <v>100</v>
      </c>
      <c r="BH9" s="125"/>
      <c r="BI9" s="124" t="s">
        <v>29</v>
      </c>
      <c r="BJ9" s="125"/>
      <c r="BK9" s="124">
        <v>1500</v>
      </c>
      <c r="BL9" s="125"/>
      <c r="BM9" s="124" t="s">
        <v>36</v>
      </c>
      <c r="BN9" s="125"/>
    </row>
    <row r="10" spans="1:66">
      <c r="A10" s="19"/>
      <c r="W10" s="23" t="s">
        <v>59</v>
      </c>
      <c r="X10" s="117"/>
      <c r="Y10" s="118"/>
      <c r="Z10" s="34" t="s">
        <v>60</v>
      </c>
      <c r="AA10" s="20"/>
      <c r="AD10" s="126"/>
      <c r="AE10" s="127"/>
      <c r="AF10" s="128"/>
      <c r="AG10" s="124"/>
      <c r="AH10" s="125"/>
      <c r="AI10" s="124"/>
      <c r="AJ10" s="70"/>
      <c r="AK10" s="70"/>
      <c r="AL10" s="125"/>
      <c r="AM10" s="124"/>
      <c r="AN10" s="70"/>
      <c r="AO10" s="70"/>
      <c r="AP10" s="125"/>
      <c r="AQ10" s="132"/>
      <c r="AR10" s="133"/>
      <c r="AS10" s="47"/>
      <c r="AT10" s="124"/>
      <c r="AU10" s="125"/>
      <c r="AV10" s="124"/>
      <c r="AW10" s="125"/>
      <c r="AX10" s="124"/>
      <c r="AY10" s="125"/>
      <c r="AZ10" s="124"/>
      <c r="BA10" s="125"/>
      <c r="BB10" s="124"/>
      <c r="BC10" s="125"/>
      <c r="BD10" s="45"/>
      <c r="BE10" s="124"/>
      <c r="BF10" s="125"/>
      <c r="BG10" s="124"/>
      <c r="BH10" s="125"/>
      <c r="BI10" s="124"/>
      <c r="BJ10" s="125"/>
      <c r="BK10" s="124"/>
      <c r="BL10" s="125"/>
      <c r="BM10" s="124"/>
      <c r="BN10" s="125"/>
    </row>
    <row r="11" spans="1:66">
      <c r="A11" s="19"/>
      <c r="W11" s="23" t="s">
        <v>61</v>
      </c>
      <c r="X11" s="117"/>
      <c r="Y11" s="118"/>
      <c r="Z11" s="34" t="s">
        <v>62</v>
      </c>
      <c r="AA11" s="20"/>
      <c r="AS11" s="48"/>
    </row>
    <row r="12" spans="1:66">
      <c r="A12" s="19"/>
      <c r="W12" s="23" t="s">
        <v>63</v>
      </c>
      <c r="X12" s="117"/>
      <c r="Y12" s="118"/>
      <c r="Z12" s="34" t="s">
        <v>64</v>
      </c>
      <c r="AA12" s="20"/>
    </row>
    <row r="13" spans="1:66">
      <c r="A13" s="19"/>
      <c r="W13" s="32" t="s">
        <v>65</v>
      </c>
      <c r="X13" s="117"/>
      <c r="Y13" s="118"/>
      <c r="Z13" s="34" t="s">
        <v>66</v>
      </c>
      <c r="AA13" s="20"/>
    </row>
    <row r="14" spans="1:66" hidden="1" outlineLevel="1">
      <c r="A14" s="19"/>
      <c r="W14" s="23" t="s">
        <v>67</v>
      </c>
      <c r="X14" s="117"/>
      <c r="Y14" s="118"/>
      <c r="Z14" s="34" t="s">
        <v>68</v>
      </c>
      <c r="AA14" s="20"/>
    </row>
    <row r="15" spans="1:66" hidden="1" outlineLevel="1">
      <c r="A15" s="19"/>
      <c r="W15" s="23" t="s">
        <v>69</v>
      </c>
      <c r="X15" s="117"/>
      <c r="Y15" s="118"/>
      <c r="Z15" s="34" t="s">
        <v>70</v>
      </c>
      <c r="AA15" s="20"/>
    </row>
    <row r="16" spans="1:66" collapsed="1">
      <c r="A16" s="19"/>
      <c r="W16" s="23" t="s">
        <v>71</v>
      </c>
      <c r="X16" s="117"/>
      <c r="Y16" s="118"/>
      <c r="Z16" s="34" t="s">
        <v>72</v>
      </c>
      <c r="AA16" s="20"/>
    </row>
    <row r="17" spans="1:27">
      <c r="A17" s="19"/>
      <c r="W17" s="23" t="s">
        <v>73</v>
      </c>
      <c r="X17" s="117"/>
      <c r="Y17" s="118"/>
      <c r="Z17" s="34" t="s">
        <v>74</v>
      </c>
      <c r="AA17" s="20"/>
    </row>
    <row r="18" spans="1:27">
      <c r="A18" s="19"/>
      <c r="W18" s="32" t="s">
        <v>75</v>
      </c>
      <c r="X18" s="117"/>
      <c r="Y18" s="118"/>
      <c r="Z18" s="34" t="s">
        <v>76</v>
      </c>
      <c r="AA18" s="20"/>
    </row>
    <row r="19" spans="1:27">
      <c r="A19" s="19"/>
      <c r="W19" s="23" t="s">
        <v>77</v>
      </c>
      <c r="X19" s="117"/>
      <c r="Y19" s="118"/>
      <c r="Z19" s="34" t="s">
        <v>78</v>
      </c>
      <c r="AA19" s="20"/>
    </row>
    <row r="20" spans="1:27">
      <c r="A20" s="19"/>
      <c r="W20" s="32" t="s">
        <v>79</v>
      </c>
      <c r="X20" s="117"/>
      <c r="Y20" s="118"/>
      <c r="Z20" s="35" t="s">
        <v>80</v>
      </c>
      <c r="AA20" s="20"/>
    </row>
    <row r="21" spans="1:27">
      <c r="A21" s="19"/>
      <c r="W21" s="25" t="s">
        <v>81</v>
      </c>
      <c r="X21" s="110"/>
      <c r="Y21" s="111"/>
      <c r="Z21" s="28" t="s">
        <v>82</v>
      </c>
      <c r="AA21" s="20"/>
    </row>
    <row r="22" spans="1:27">
      <c r="A22" s="19"/>
      <c r="W22" s="23" t="s">
        <v>83</v>
      </c>
      <c r="X22" s="112"/>
      <c r="Y22" s="113"/>
      <c r="Z22" s="28" t="s">
        <v>84</v>
      </c>
      <c r="AA22" s="20"/>
    </row>
    <row r="23" spans="1:27">
      <c r="A23" s="19"/>
      <c r="W23" s="33" t="s">
        <v>85</v>
      </c>
      <c r="X23" s="112"/>
      <c r="Y23" s="114"/>
      <c r="Z23" s="36" t="s">
        <v>76</v>
      </c>
      <c r="AA23" s="20"/>
    </row>
    <row r="24" spans="1:27">
      <c r="A24" s="19"/>
      <c r="W24" s="33" t="s">
        <v>86</v>
      </c>
      <c r="X24" s="115"/>
      <c r="Y24" s="116"/>
      <c r="Z24" s="37" t="s">
        <v>87</v>
      </c>
      <c r="AA24" s="20"/>
    </row>
    <row r="25" spans="1:27">
      <c r="A25" s="19"/>
      <c r="W25" s="29" t="s">
        <v>88</v>
      </c>
      <c r="X25" s="75"/>
      <c r="Y25" s="75"/>
      <c r="Z25" s="38" t="s">
        <v>70</v>
      </c>
      <c r="AA25" s="20"/>
    </row>
    <row r="26" spans="1:27">
      <c r="A26" s="19"/>
      <c r="W26" s="29" t="s">
        <v>89</v>
      </c>
      <c r="X26" s="75"/>
      <c r="Y26" s="75"/>
      <c r="Z26" s="38" t="s">
        <v>70</v>
      </c>
      <c r="AA26" s="20"/>
    </row>
    <row r="27" spans="1:27">
      <c r="A27" s="19"/>
      <c r="W27" s="29" t="s">
        <v>90</v>
      </c>
      <c r="X27" s="75"/>
      <c r="Y27" s="75"/>
      <c r="Z27" s="38" t="s">
        <v>84</v>
      </c>
      <c r="AA27" s="20"/>
    </row>
    <row r="28" spans="1:27">
      <c r="A28" s="19"/>
      <c r="W28" s="30" t="s">
        <v>91</v>
      </c>
      <c r="X28" s="75"/>
      <c r="Y28" s="75"/>
      <c r="Z28" s="38" t="s">
        <v>80</v>
      </c>
      <c r="AA28" s="20"/>
    </row>
    <row r="29" spans="1:27">
      <c r="A29" s="19"/>
      <c r="W29" s="29" t="s">
        <v>92</v>
      </c>
      <c r="X29" s="75"/>
      <c r="Y29" s="75"/>
      <c r="Z29" s="38" t="s">
        <v>70</v>
      </c>
      <c r="AA29" s="20"/>
    </row>
    <row r="30" spans="1:27">
      <c r="A30" s="19"/>
      <c r="W30" s="30" t="s">
        <v>93</v>
      </c>
      <c r="X30" s="75"/>
      <c r="Y30" s="75"/>
      <c r="Z30" s="38" t="s">
        <v>87</v>
      </c>
      <c r="AA30" s="20"/>
    </row>
    <row r="31" spans="1:27">
      <c r="A31" s="19"/>
      <c r="W31" s="30" t="s">
        <v>94</v>
      </c>
      <c r="X31" s="97"/>
      <c r="Y31" s="98"/>
      <c r="Z31" s="22" t="s">
        <v>95</v>
      </c>
      <c r="AA31" s="20"/>
    </row>
    <row r="32" spans="1:27">
      <c r="A32" s="19"/>
      <c r="W32" s="30" t="s">
        <v>96</v>
      </c>
      <c r="X32" s="40"/>
      <c r="Y32" s="41"/>
      <c r="Z32" s="22" t="s">
        <v>95</v>
      </c>
      <c r="AA32" s="20"/>
    </row>
    <row r="33" spans="1:49">
      <c r="A33" s="19"/>
      <c r="W33" s="29" t="s">
        <v>97</v>
      </c>
      <c r="X33" s="40"/>
      <c r="Y33" s="41"/>
      <c r="Z33" s="22" t="s">
        <v>98</v>
      </c>
      <c r="AA33" s="20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</row>
    <row r="34" spans="1:49">
      <c r="A34" s="19"/>
      <c r="W34" s="29" t="s">
        <v>99</v>
      </c>
      <c r="X34" s="40"/>
      <c r="Y34" s="41"/>
      <c r="Z34" s="22" t="s">
        <v>98</v>
      </c>
      <c r="AA34" s="20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</row>
    <row r="35" spans="1:49">
      <c r="W35" s="30" t="s">
        <v>100</v>
      </c>
      <c r="X35" s="40"/>
      <c r="Y35" s="41"/>
      <c r="Z35" s="22" t="s">
        <v>87</v>
      </c>
      <c r="AA35" s="20"/>
      <c r="AK35" s="31"/>
      <c r="AL35" s="94"/>
      <c r="AM35" s="94"/>
      <c r="AN35" s="94"/>
      <c r="AO35" s="94"/>
      <c r="AP35" s="94"/>
      <c r="AQ35" s="93"/>
      <c r="AR35" s="93"/>
      <c r="AS35" s="93"/>
      <c r="AT35" s="93"/>
      <c r="AU35" s="93"/>
      <c r="AV35" s="93"/>
      <c r="AW35" s="31"/>
    </row>
    <row r="36" spans="1:49" ht="14.45" customHeight="1">
      <c r="W36" s="30" t="s">
        <v>101</v>
      </c>
      <c r="X36" s="40"/>
      <c r="Y36" s="41"/>
      <c r="Z36" s="22" t="s">
        <v>95</v>
      </c>
      <c r="AA36" s="20"/>
      <c r="AC36" s="1"/>
      <c r="AD36" s="1"/>
      <c r="AE36" s="1"/>
      <c r="AF36" s="1"/>
      <c r="AG36" s="1"/>
      <c r="AH36" s="1"/>
      <c r="AK36" s="31"/>
      <c r="AL36" s="94"/>
      <c r="AM36" s="94"/>
      <c r="AN36" s="94"/>
      <c r="AO36" s="94"/>
      <c r="AP36" s="94"/>
      <c r="AQ36" s="93"/>
      <c r="AR36" s="93"/>
      <c r="AS36" s="93"/>
      <c r="AT36" s="93"/>
      <c r="AU36" s="93"/>
      <c r="AV36" s="93"/>
      <c r="AW36" s="31"/>
    </row>
    <row r="37" spans="1:49">
      <c r="W37" s="30" t="s">
        <v>102</v>
      </c>
      <c r="X37" s="40"/>
      <c r="Y37" s="41"/>
      <c r="Z37" s="22" t="s">
        <v>95</v>
      </c>
      <c r="AA37" s="20"/>
      <c r="AC37" s="1"/>
      <c r="AD37" s="1"/>
      <c r="AE37" s="1"/>
      <c r="AF37" s="1"/>
      <c r="AG37" s="1"/>
      <c r="AH37" s="1"/>
      <c r="AK37" s="31"/>
      <c r="AL37" s="94"/>
      <c r="AM37" s="94"/>
      <c r="AN37" s="94"/>
      <c r="AO37" s="94"/>
      <c r="AP37" s="94"/>
      <c r="AQ37" s="93"/>
      <c r="AR37" s="93"/>
      <c r="AS37" s="93"/>
      <c r="AT37" s="93"/>
      <c r="AU37" s="93"/>
      <c r="AV37" s="93"/>
      <c r="AW37" s="31"/>
    </row>
    <row r="38" spans="1:49">
      <c r="W38" s="29" t="s">
        <v>103</v>
      </c>
      <c r="X38" s="40"/>
      <c r="Y38" s="41"/>
      <c r="Z38" s="22" t="s">
        <v>98</v>
      </c>
      <c r="AA38" s="20"/>
      <c r="AC38" s="1"/>
      <c r="AD38" s="1"/>
      <c r="AE38" s="1"/>
      <c r="AF38" s="1"/>
      <c r="AG38" s="1"/>
      <c r="AH38" s="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</row>
    <row r="39" spans="1:49">
      <c r="W39" s="29" t="s">
        <v>104</v>
      </c>
      <c r="X39" s="40"/>
      <c r="Y39" s="41"/>
      <c r="Z39" s="22" t="s">
        <v>98</v>
      </c>
      <c r="AA39" s="20"/>
      <c r="AC39" s="1"/>
      <c r="AD39" s="1"/>
      <c r="AE39" s="1"/>
      <c r="AF39" s="1"/>
      <c r="AG39" s="1"/>
      <c r="AH39" s="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</row>
    <row r="40" spans="1:49">
      <c r="W40" s="30" t="s">
        <v>105</v>
      </c>
      <c r="X40" s="40"/>
      <c r="Y40" s="41"/>
      <c r="Z40" s="22" t="s">
        <v>87</v>
      </c>
      <c r="AA40" s="20"/>
      <c r="AC40" s="1"/>
      <c r="AD40" s="1"/>
      <c r="AE40" s="1"/>
      <c r="AF40" s="1"/>
      <c r="AG40" s="1"/>
      <c r="AH40" s="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</row>
    <row r="41" spans="1:49">
      <c r="W41" s="29" t="s">
        <v>106</v>
      </c>
      <c r="X41" s="40"/>
      <c r="Y41" s="41"/>
      <c r="Z41" s="22"/>
      <c r="AA41" s="20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</row>
    <row r="42" spans="1:49">
      <c r="W42" s="29" t="s">
        <v>107</v>
      </c>
      <c r="X42" s="40"/>
      <c r="Y42" s="41"/>
      <c r="Z42" s="22"/>
      <c r="AA42" s="20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</row>
    <row r="43" spans="1:49">
      <c r="W43" s="29" t="s">
        <v>108</v>
      </c>
      <c r="X43" s="40"/>
      <c r="Y43" s="41"/>
      <c r="Z43" s="22"/>
      <c r="AA43" s="20"/>
    </row>
    <row r="44" spans="1:49">
      <c r="W44" s="29" t="s">
        <v>109</v>
      </c>
      <c r="X44" s="40"/>
      <c r="Y44" s="41"/>
      <c r="Z44" s="22"/>
      <c r="AA44" s="20"/>
    </row>
    <row r="45" spans="1:49">
      <c r="W45" s="30" t="s">
        <v>110</v>
      </c>
      <c r="X45" s="40"/>
      <c r="Y45" s="41"/>
      <c r="Z45" s="22" t="s">
        <v>87</v>
      </c>
      <c r="AA45" s="20"/>
    </row>
    <row r="46" spans="1:49">
      <c r="W46" s="30" t="s">
        <v>111</v>
      </c>
      <c r="X46" s="40"/>
      <c r="Y46" s="41"/>
      <c r="Z46" s="22" t="s">
        <v>112</v>
      </c>
      <c r="AA46" s="20"/>
    </row>
    <row r="47" spans="1:49">
      <c r="W47" s="30" t="s">
        <v>113</v>
      </c>
      <c r="X47" s="40"/>
      <c r="Y47" s="41"/>
      <c r="Z47" s="22" t="s">
        <v>112</v>
      </c>
      <c r="AA47" s="20"/>
    </row>
    <row r="48" spans="1:49">
      <c r="W48" s="29" t="s">
        <v>114</v>
      </c>
      <c r="X48" s="40"/>
      <c r="Y48" s="41"/>
      <c r="Z48" s="22" t="s">
        <v>98</v>
      </c>
      <c r="AA48" s="20"/>
    </row>
    <row r="49" spans="23:35">
      <c r="W49" s="29" t="s">
        <v>115</v>
      </c>
      <c r="X49" s="40"/>
      <c r="Y49" s="41"/>
      <c r="Z49" s="22" t="s">
        <v>98</v>
      </c>
      <c r="AA49" s="20"/>
    </row>
    <row r="50" spans="23:35" ht="14.45" customHeight="1">
      <c r="W50" s="29" t="s">
        <v>116</v>
      </c>
      <c r="X50" s="40"/>
      <c r="Y50" s="41"/>
      <c r="Z50" s="22" t="s">
        <v>76</v>
      </c>
      <c r="AA50" s="20"/>
    </row>
    <row r="51" spans="23:35" ht="14.45" customHeight="1">
      <c r="W51" s="29" t="s">
        <v>117</v>
      </c>
      <c r="X51" s="40"/>
      <c r="Y51" s="41"/>
      <c r="Z51" s="22" t="s">
        <v>62</v>
      </c>
      <c r="AA51" s="20"/>
    </row>
    <row r="52" spans="23:35">
      <c r="W52" s="29" t="s">
        <v>118</v>
      </c>
      <c r="X52" s="40"/>
      <c r="Y52" s="41"/>
      <c r="Z52" s="22" t="s">
        <v>98</v>
      </c>
      <c r="AA52" s="20"/>
      <c r="AC52" s="1"/>
      <c r="AD52" s="1"/>
      <c r="AE52" s="1"/>
      <c r="AF52" s="1"/>
      <c r="AG52" s="1"/>
      <c r="AH52" s="1"/>
      <c r="AI52"/>
    </row>
    <row r="53" spans="23:35">
      <c r="W53" s="29" t="s">
        <v>119</v>
      </c>
      <c r="X53" s="40"/>
      <c r="Y53" s="41"/>
      <c r="Z53" s="22"/>
      <c r="AA53" s="20"/>
    </row>
    <row r="54" spans="23:35">
      <c r="W54" s="29" t="s">
        <v>120</v>
      </c>
      <c r="X54" s="40"/>
      <c r="Y54" s="41"/>
      <c r="Z54" s="22" t="s">
        <v>62</v>
      </c>
      <c r="AA54" s="20"/>
    </row>
    <row r="55" spans="23:35">
      <c r="W55" s="29" t="s">
        <v>121</v>
      </c>
      <c r="X55" s="40"/>
      <c r="Y55" s="41"/>
      <c r="Z55" s="22" t="s">
        <v>98</v>
      </c>
      <c r="AA55" s="20"/>
    </row>
    <row r="56" spans="23:35">
      <c r="W56" s="29" t="s">
        <v>122</v>
      </c>
      <c r="X56" s="40"/>
      <c r="Y56" s="41"/>
      <c r="Z56" s="22"/>
      <c r="AA56" s="20"/>
    </row>
    <row r="57" spans="23:35">
      <c r="W57" s="29" t="s">
        <v>123</v>
      </c>
      <c r="X57" s="40"/>
      <c r="Y57" s="41"/>
      <c r="Z57" s="22" t="s">
        <v>62</v>
      </c>
      <c r="AA57" s="20"/>
    </row>
    <row r="58" spans="23:35">
      <c r="W58" s="29" t="s">
        <v>124</v>
      </c>
      <c r="X58" s="40"/>
      <c r="Y58" s="41"/>
      <c r="Z58" s="22" t="s">
        <v>98</v>
      </c>
      <c r="AA58" s="20"/>
    </row>
    <row r="59" spans="23:35">
      <c r="W59" s="29" t="s">
        <v>125</v>
      </c>
      <c r="X59" s="40"/>
      <c r="Y59" s="41"/>
      <c r="Z59" s="22"/>
      <c r="AA59" s="20"/>
    </row>
    <row r="60" spans="23:35">
      <c r="W60" s="29" t="s">
        <v>126</v>
      </c>
      <c r="X60" s="40"/>
      <c r="Y60" s="41"/>
      <c r="Z60" s="22" t="s">
        <v>62</v>
      </c>
      <c r="AA60" s="20"/>
    </row>
    <row r="61" spans="23:35">
      <c r="W61" s="29" t="s">
        <v>127</v>
      </c>
      <c r="X61" s="40"/>
      <c r="Y61" s="41"/>
      <c r="Z61" s="22" t="s">
        <v>98</v>
      </c>
      <c r="AA61" s="20"/>
    </row>
    <row r="62" spans="23:35">
      <c r="W62" s="29" t="s">
        <v>128</v>
      </c>
      <c r="X62" s="40"/>
      <c r="Y62" s="41"/>
      <c r="Z62" s="22"/>
      <c r="AA62" s="20"/>
    </row>
    <row r="63" spans="23:35">
      <c r="W63" s="29" t="s">
        <v>129</v>
      </c>
      <c r="X63" s="40"/>
      <c r="Y63" s="41"/>
      <c r="Z63" s="22" t="s">
        <v>62</v>
      </c>
      <c r="AA63" s="20"/>
    </row>
    <row r="64" spans="23:35">
      <c r="W64" s="29" t="s">
        <v>130</v>
      </c>
      <c r="X64" s="40"/>
      <c r="Y64" s="41"/>
      <c r="Z64" s="22" t="s">
        <v>98</v>
      </c>
      <c r="AA64" s="20"/>
    </row>
    <row r="65" spans="27:27">
      <c r="AA65" s="20"/>
    </row>
    <row r="66" spans="27:27">
      <c r="AA66" s="20"/>
    </row>
    <row r="67" spans="27:27">
      <c r="AA67" s="20"/>
    </row>
    <row r="68" spans="27:27">
      <c r="AA68" s="20"/>
    </row>
    <row r="69" spans="27:27">
      <c r="AA69" s="20"/>
    </row>
    <row r="70" spans="27:27">
      <c r="AA70" s="20"/>
    </row>
    <row r="71" spans="27:27">
      <c r="AA71" s="20"/>
    </row>
    <row r="72" spans="27:27">
      <c r="AA72" s="20"/>
    </row>
    <row r="73" spans="27:27">
      <c r="AA73" s="20"/>
    </row>
    <row r="74" spans="27:27">
      <c r="AA74" s="20"/>
    </row>
    <row r="75" spans="27:27">
      <c r="AA75" s="20"/>
    </row>
    <row r="76" spans="27:27">
      <c r="AA76" s="20"/>
    </row>
    <row r="77" spans="27:27">
      <c r="AA77" s="20"/>
    </row>
    <row r="78" spans="27:27">
      <c r="AA78" s="20"/>
    </row>
    <row r="79" spans="27:27">
      <c r="AA79" s="20"/>
    </row>
    <row r="80" spans="27:27">
      <c r="AA80" s="20"/>
    </row>
    <row r="81" spans="27:27">
      <c r="AA81" s="20"/>
    </row>
    <row r="82" spans="27:27">
      <c r="AA82" s="20"/>
    </row>
    <row r="83" spans="27:27">
      <c r="AA83" s="20"/>
    </row>
    <row r="84" spans="27:27">
      <c r="AA84" s="20"/>
    </row>
    <row r="85" spans="27:27">
      <c r="AA85" s="20"/>
    </row>
    <row r="86" spans="27:27">
      <c r="AA86" s="20"/>
    </row>
    <row r="87" spans="27:27">
      <c r="AA87" s="20"/>
    </row>
    <row r="88" spans="27:27">
      <c r="AA88" s="20"/>
    </row>
    <row r="89" spans="27:27">
      <c r="AA89" s="20"/>
    </row>
    <row r="90" spans="27:27">
      <c r="AA90" s="20"/>
    </row>
    <row r="91" spans="27:27">
      <c r="AA91" s="20"/>
    </row>
    <row r="92" spans="27:27">
      <c r="AA92" s="20"/>
    </row>
    <row r="93" spans="27:27">
      <c r="AA93" s="20"/>
    </row>
    <row r="94" spans="27:27">
      <c r="AA94" s="20"/>
    </row>
    <row r="95" spans="27:27">
      <c r="AA95" s="20"/>
    </row>
    <row r="96" spans="27:27">
      <c r="AA96" s="20"/>
    </row>
    <row r="97" spans="2:27">
      <c r="AA97" s="20"/>
    </row>
    <row r="98" spans="2:27">
      <c r="AA98" s="20"/>
    </row>
    <row r="99" spans="2:27">
      <c r="B99" s="57"/>
      <c r="C99" s="66"/>
      <c r="D99" s="67"/>
      <c r="E99" s="67"/>
      <c r="F99" s="67"/>
      <c r="G99" s="68"/>
      <c r="H99" s="69"/>
      <c r="I99" s="70"/>
      <c r="J99" s="70"/>
      <c r="K99" s="71"/>
      <c r="L99" s="66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15"/>
      <c r="X99" s="15"/>
      <c r="Y99" s="15"/>
      <c r="Z99" s="15"/>
      <c r="AA99" s="20"/>
    </row>
    <row r="100" spans="2:27">
      <c r="B100" s="57">
        <v>55</v>
      </c>
      <c r="C100" s="66" t="s">
        <v>131</v>
      </c>
      <c r="D100" s="67"/>
      <c r="E100" s="67"/>
      <c r="F100" s="67"/>
      <c r="G100" s="68"/>
      <c r="H100" s="69" t="s">
        <v>132</v>
      </c>
      <c r="I100" s="70"/>
      <c r="J100" s="70"/>
      <c r="K100" s="71"/>
      <c r="L100" s="66" t="s">
        <v>133</v>
      </c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15"/>
      <c r="X100" s="15"/>
      <c r="Y100" s="15"/>
      <c r="Z100" s="15"/>
      <c r="AA100" s="20"/>
    </row>
    <row r="101" spans="2:27">
      <c r="B101" s="57">
        <v>54</v>
      </c>
      <c r="C101" s="66" t="s">
        <v>134</v>
      </c>
      <c r="D101" s="67"/>
      <c r="E101" s="67"/>
      <c r="F101" s="67"/>
      <c r="G101" s="68"/>
      <c r="H101" s="69" t="s">
        <v>57</v>
      </c>
      <c r="I101" s="70"/>
      <c r="J101" s="70"/>
      <c r="K101" s="71"/>
      <c r="L101" s="66" t="s">
        <v>135</v>
      </c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15"/>
      <c r="X101" s="15"/>
      <c r="Y101" s="15"/>
      <c r="Z101" s="15"/>
      <c r="AA101" s="20"/>
    </row>
    <row r="102" spans="2:27">
      <c r="B102" s="57">
        <v>53</v>
      </c>
      <c r="C102" s="66" t="s">
        <v>136</v>
      </c>
      <c r="D102" s="67"/>
      <c r="E102" s="67"/>
      <c r="F102" s="67"/>
      <c r="G102" s="68"/>
      <c r="H102" s="69"/>
      <c r="I102" s="70"/>
      <c r="J102" s="70"/>
      <c r="K102" s="71"/>
      <c r="L102" s="66" t="s">
        <v>137</v>
      </c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15"/>
      <c r="X102" s="15"/>
      <c r="Y102" s="15"/>
      <c r="Z102" s="15"/>
      <c r="AA102" s="20"/>
    </row>
    <row r="103" spans="2:27">
      <c r="B103" s="57">
        <v>52</v>
      </c>
      <c r="C103" s="66" t="s">
        <v>138</v>
      </c>
      <c r="D103" s="67"/>
      <c r="E103" s="67"/>
      <c r="F103" s="67"/>
      <c r="G103" s="68"/>
      <c r="H103" s="69" t="s">
        <v>139</v>
      </c>
      <c r="I103" s="70"/>
      <c r="J103" s="70"/>
      <c r="K103" s="71"/>
      <c r="L103" s="66" t="s">
        <v>140</v>
      </c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15"/>
      <c r="X103" s="15"/>
      <c r="Y103" s="15"/>
      <c r="Z103" s="15"/>
      <c r="AA103" s="20"/>
    </row>
    <row r="104" spans="2:27">
      <c r="B104" s="57">
        <v>51</v>
      </c>
      <c r="C104" s="66" t="s">
        <v>141</v>
      </c>
      <c r="D104" s="67"/>
      <c r="E104" s="67"/>
      <c r="F104" s="67"/>
      <c r="G104" s="68"/>
      <c r="H104" s="69" t="s">
        <v>53</v>
      </c>
      <c r="I104" s="70"/>
      <c r="J104" s="70"/>
      <c r="K104" s="71"/>
      <c r="L104" s="66" t="s">
        <v>142</v>
      </c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15"/>
      <c r="X104" s="15"/>
      <c r="Y104" s="15"/>
      <c r="Z104" s="15"/>
      <c r="AA104" s="20"/>
    </row>
    <row r="105" spans="2:27">
      <c r="B105" s="57">
        <v>50</v>
      </c>
      <c r="C105" s="66" t="s">
        <v>143</v>
      </c>
      <c r="D105" s="67"/>
      <c r="E105" s="67"/>
      <c r="F105" s="67"/>
      <c r="G105" s="68"/>
      <c r="H105" s="69"/>
      <c r="I105" s="70"/>
      <c r="J105" s="70"/>
      <c r="K105" s="71"/>
      <c r="L105" s="66" t="s">
        <v>144</v>
      </c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15"/>
      <c r="X105" s="15"/>
      <c r="Y105" s="15"/>
      <c r="Z105" s="15"/>
      <c r="AA105" s="20"/>
    </row>
    <row r="106" spans="2:27">
      <c r="B106" s="57">
        <v>49</v>
      </c>
      <c r="C106" s="66" t="s">
        <v>145</v>
      </c>
      <c r="D106" s="67"/>
      <c r="E106" s="67"/>
      <c r="F106" s="67"/>
      <c r="G106" s="68"/>
      <c r="H106" s="69" t="s">
        <v>146</v>
      </c>
      <c r="I106" s="70"/>
      <c r="J106" s="70"/>
      <c r="K106" s="71"/>
      <c r="L106" s="66" t="s">
        <v>147</v>
      </c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15"/>
      <c r="X106" s="15"/>
      <c r="Y106" s="15"/>
      <c r="Z106" s="15"/>
      <c r="AA106" s="20"/>
    </row>
    <row r="107" spans="2:27">
      <c r="B107" s="57">
        <v>48</v>
      </c>
      <c r="C107" s="66" t="s">
        <v>148</v>
      </c>
      <c r="D107" s="67"/>
      <c r="E107" s="67"/>
      <c r="F107" s="67"/>
      <c r="G107" s="68"/>
      <c r="H107" s="69" t="s">
        <v>47</v>
      </c>
      <c r="I107" s="70"/>
      <c r="J107" s="70"/>
      <c r="K107" s="71"/>
      <c r="L107" s="66" t="s">
        <v>149</v>
      </c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15"/>
      <c r="X107" s="15"/>
      <c r="Y107" s="15"/>
      <c r="Z107" s="15"/>
      <c r="AA107" s="20"/>
    </row>
    <row r="108" spans="2:27">
      <c r="B108" s="57">
        <v>47</v>
      </c>
      <c r="C108" s="66" t="s">
        <v>150</v>
      </c>
      <c r="D108" s="67"/>
      <c r="E108" s="67"/>
      <c r="F108" s="67"/>
      <c r="G108" s="68"/>
      <c r="H108" s="69"/>
      <c r="I108" s="70"/>
      <c r="J108" s="70"/>
      <c r="K108" s="71"/>
      <c r="L108" s="66" t="s">
        <v>151</v>
      </c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15"/>
      <c r="X108" s="15"/>
      <c r="Y108" s="15"/>
      <c r="Z108" s="15"/>
      <c r="AA108" s="20"/>
    </row>
    <row r="109" spans="2:27">
      <c r="B109" s="57">
        <v>46</v>
      </c>
      <c r="C109" s="66" t="s">
        <v>152</v>
      </c>
      <c r="D109" s="67"/>
      <c r="E109" s="67"/>
      <c r="F109" s="67"/>
      <c r="G109" s="68"/>
      <c r="H109" s="69" t="s">
        <v>153</v>
      </c>
      <c r="I109" s="70"/>
      <c r="J109" s="70"/>
      <c r="K109" s="71"/>
      <c r="L109" s="66" t="s">
        <v>154</v>
      </c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15"/>
      <c r="X109" s="15"/>
      <c r="Y109" s="15"/>
      <c r="Z109" s="15"/>
      <c r="AA109" s="20"/>
    </row>
    <row r="110" spans="2:27">
      <c r="B110" s="57">
        <v>45</v>
      </c>
      <c r="C110" s="66" t="s">
        <v>155</v>
      </c>
      <c r="D110" s="67"/>
      <c r="E110" s="67"/>
      <c r="F110" s="67"/>
      <c r="G110" s="68"/>
      <c r="H110" s="69" t="s">
        <v>156</v>
      </c>
      <c r="I110" s="70"/>
      <c r="J110" s="70"/>
      <c r="K110" s="71"/>
      <c r="L110" s="66" t="s">
        <v>157</v>
      </c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15"/>
      <c r="X110" s="15"/>
      <c r="Y110" s="15"/>
      <c r="Z110" s="15"/>
      <c r="AA110" s="20"/>
    </row>
    <row r="111" spans="2:27">
      <c r="B111" s="57">
        <v>44</v>
      </c>
      <c r="C111" s="66" t="s">
        <v>158</v>
      </c>
      <c r="D111" s="67"/>
      <c r="E111" s="67"/>
      <c r="F111" s="67"/>
      <c r="G111" s="68"/>
      <c r="H111" s="69" t="s">
        <v>159</v>
      </c>
      <c r="I111" s="70"/>
      <c r="J111" s="70"/>
      <c r="K111" s="71"/>
      <c r="L111" s="66" t="s">
        <v>160</v>
      </c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15"/>
      <c r="X111" s="15"/>
      <c r="Y111" s="15"/>
      <c r="Z111" s="15"/>
      <c r="AA111" s="20"/>
    </row>
    <row r="112" spans="2:27">
      <c r="B112" s="57">
        <v>43</v>
      </c>
      <c r="C112" s="66" t="s">
        <v>161</v>
      </c>
      <c r="D112" s="67"/>
      <c r="E112" s="67"/>
      <c r="F112" s="67"/>
      <c r="G112" s="68"/>
      <c r="H112" s="69" t="s">
        <v>162</v>
      </c>
      <c r="I112" s="70"/>
      <c r="J112" s="70"/>
      <c r="K112" s="71"/>
      <c r="L112" s="66" t="s">
        <v>163</v>
      </c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15"/>
      <c r="X112" s="15"/>
      <c r="Y112" s="15"/>
      <c r="Z112" s="15"/>
      <c r="AA112" s="20"/>
    </row>
    <row r="113" spans="2:39">
      <c r="B113" s="57">
        <v>42</v>
      </c>
      <c r="C113" s="66" t="s">
        <v>164</v>
      </c>
      <c r="D113" s="67"/>
      <c r="E113" s="67"/>
      <c r="F113" s="67"/>
      <c r="G113" s="68"/>
      <c r="H113" s="69" t="s">
        <v>35</v>
      </c>
      <c r="I113" s="70"/>
      <c r="J113" s="70"/>
      <c r="K113" s="71"/>
      <c r="L113" s="66" t="s">
        <v>165</v>
      </c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15"/>
      <c r="X113" s="15"/>
      <c r="Y113" s="15"/>
      <c r="Z113" s="15"/>
      <c r="AA113" s="20"/>
    </row>
    <row r="114" spans="2:39">
      <c r="B114" s="57">
        <v>41</v>
      </c>
      <c r="C114" s="66" t="s">
        <v>166</v>
      </c>
      <c r="D114" s="67"/>
      <c r="E114" s="67"/>
      <c r="F114" s="67"/>
      <c r="G114" s="68"/>
      <c r="H114" s="69"/>
      <c r="I114" s="70"/>
      <c r="J114" s="70"/>
      <c r="K114" s="71"/>
      <c r="L114" s="66" t="s">
        <v>167</v>
      </c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15"/>
      <c r="X114" s="15"/>
      <c r="Y114" s="15"/>
      <c r="Z114" s="15"/>
      <c r="AA114" s="20"/>
    </row>
    <row r="115" spans="2:39">
      <c r="B115" s="57">
        <v>40</v>
      </c>
      <c r="C115" s="66" t="s">
        <v>168</v>
      </c>
      <c r="D115" s="67"/>
      <c r="E115" s="67"/>
      <c r="F115" s="67"/>
      <c r="G115" s="68"/>
      <c r="H115" s="69" t="s">
        <v>169</v>
      </c>
      <c r="I115" s="70"/>
      <c r="J115" s="70"/>
      <c r="K115" s="71"/>
      <c r="L115" s="66" t="s">
        <v>170</v>
      </c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15"/>
      <c r="X115" s="15"/>
      <c r="Y115" s="15"/>
      <c r="Z115" s="15"/>
      <c r="AA115" s="20"/>
    </row>
    <row r="116" spans="2:39">
      <c r="B116" s="57">
        <v>39</v>
      </c>
      <c r="C116" s="66" t="s">
        <v>171</v>
      </c>
      <c r="D116" s="67"/>
      <c r="E116" s="67"/>
      <c r="F116" s="67"/>
      <c r="G116" s="68"/>
      <c r="H116" s="69" t="s">
        <v>22</v>
      </c>
      <c r="I116" s="70"/>
      <c r="J116" s="70"/>
      <c r="K116" s="71"/>
      <c r="L116" s="66" t="s">
        <v>172</v>
      </c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15"/>
      <c r="X116" s="15"/>
      <c r="Y116" s="15"/>
      <c r="Z116" s="15"/>
      <c r="AA116" s="20"/>
    </row>
    <row r="117" spans="2:39">
      <c r="B117" s="57">
        <v>38</v>
      </c>
      <c r="C117" s="66" t="s">
        <v>173</v>
      </c>
      <c r="D117" s="67"/>
      <c r="E117" s="67"/>
      <c r="F117" s="67"/>
      <c r="G117" s="68"/>
      <c r="H117" s="69"/>
      <c r="I117" s="70"/>
      <c r="J117" s="70"/>
      <c r="K117" s="71"/>
      <c r="L117" s="66" t="s">
        <v>174</v>
      </c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15"/>
      <c r="X117" s="15"/>
      <c r="Y117" s="15"/>
      <c r="Z117" s="15"/>
      <c r="AA117" s="20"/>
    </row>
    <row r="118" spans="2:39" ht="14.45" customHeight="1">
      <c r="B118" s="57">
        <v>37</v>
      </c>
      <c r="C118" s="66" t="s">
        <v>175</v>
      </c>
      <c r="D118" s="67"/>
      <c r="E118" s="67"/>
      <c r="F118" s="67"/>
      <c r="G118" s="68"/>
      <c r="H118" s="69" t="s">
        <v>176</v>
      </c>
      <c r="I118" s="70"/>
      <c r="J118" s="70"/>
      <c r="K118" s="71"/>
      <c r="L118" s="66" t="s">
        <v>177</v>
      </c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15"/>
      <c r="X118" s="15"/>
      <c r="Y118" s="15"/>
      <c r="Z118" s="15"/>
      <c r="AA118" s="20"/>
    </row>
    <row r="119" spans="2:39" ht="14.45" customHeight="1">
      <c r="B119" s="57">
        <v>36</v>
      </c>
      <c r="C119" s="66" t="s">
        <v>178</v>
      </c>
      <c r="D119" s="67"/>
      <c r="E119" s="67"/>
      <c r="F119" s="67"/>
      <c r="G119" s="68"/>
      <c r="H119" s="69" t="s">
        <v>179</v>
      </c>
      <c r="I119" s="70"/>
      <c r="J119" s="70"/>
      <c r="K119" s="71"/>
      <c r="L119" s="66" t="s">
        <v>180</v>
      </c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15"/>
      <c r="X119" s="15"/>
      <c r="Y119" s="15"/>
      <c r="Z119" s="15"/>
      <c r="AA119" s="20"/>
    </row>
    <row r="120" spans="2:39" ht="14.45" customHeight="1">
      <c r="B120" s="57">
        <v>35</v>
      </c>
      <c r="C120" s="66" t="s">
        <v>181</v>
      </c>
      <c r="D120" s="67"/>
      <c r="E120" s="67"/>
      <c r="F120" s="67"/>
      <c r="G120" s="68"/>
      <c r="H120" s="69" t="s">
        <v>182</v>
      </c>
      <c r="I120" s="70"/>
      <c r="J120" s="70"/>
      <c r="K120" s="71"/>
      <c r="L120" s="66" t="s">
        <v>183</v>
      </c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15"/>
      <c r="X120" s="15"/>
      <c r="Y120" s="15"/>
      <c r="Z120" s="15"/>
      <c r="AA120" s="20"/>
    </row>
    <row r="121" spans="2:39" ht="14.45" customHeight="1">
      <c r="B121" s="57">
        <v>34</v>
      </c>
      <c r="C121" s="66" t="s">
        <v>184</v>
      </c>
      <c r="D121" s="67"/>
      <c r="E121" s="67"/>
      <c r="F121" s="67"/>
      <c r="G121" s="68"/>
      <c r="H121" s="69" t="s">
        <v>185</v>
      </c>
      <c r="I121" s="70"/>
      <c r="J121" s="70"/>
      <c r="K121" s="71"/>
      <c r="L121" s="66" t="s">
        <v>186</v>
      </c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15"/>
      <c r="X121" s="15"/>
      <c r="Y121" s="15"/>
      <c r="Z121" s="15"/>
      <c r="AA121" s="20"/>
    </row>
    <row r="122" spans="2:39" ht="14.45" customHeight="1">
      <c r="B122" s="57">
        <v>33</v>
      </c>
      <c r="C122" s="66" t="s">
        <v>187</v>
      </c>
      <c r="D122" s="67"/>
      <c r="E122" s="67"/>
      <c r="F122" s="67"/>
      <c r="G122" s="68"/>
      <c r="H122" s="69" t="s">
        <v>188</v>
      </c>
      <c r="I122" s="70"/>
      <c r="J122" s="70"/>
      <c r="K122" s="71"/>
      <c r="L122" s="66" t="s">
        <v>189</v>
      </c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15"/>
      <c r="X122" s="15"/>
      <c r="Y122" s="15"/>
      <c r="Z122" s="15"/>
      <c r="AA122" s="20"/>
    </row>
    <row r="123" spans="2:39" ht="14.45" customHeight="1">
      <c r="B123" s="57">
        <v>32</v>
      </c>
      <c r="C123" s="66" t="s">
        <v>190</v>
      </c>
      <c r="D123" s="67"/>
      <c r="E123" s="67"/>
      <c r="F123" s="67"/>
      <c r="G123" s="68"/>
      <c r="H123" s="69" t="s">
        <v>191</v>
      </c>
      <c r="I123" s="70"/>
      <c r="J123" s="70"/>
      <c r="K123" s="71"/>
      <c r="L123" s="66" t="s">
        <v>192</v>
      </c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15"/>
      <c r="X123" s="15"/>
      <c r="Y123" s="15"/>
      <c r="Z123" s="15"/>
      <c r="AA123" s="20"/>
    </row>
    <row r="124" spans="2:39" ht="14.45" customHeight="1">
      <c r="B124" s="57">
        <v>31</v>
      </c>
      <c r="C124" s="66" t="s">
        <v>193</v>
      </c>
      <c r="D124" s="67"/>
      <c r="E124" s="67"/>
      <c r="F124" s="67"/>
      <c r="G124" s="68"/>
      <c r="H124" s="69"/>
      <c r="I124" s="70"/>
      <c r="J124" s="70"/>
      <c r="K124" s="71"/>
      <c r="L124" s="66" t="s">
        <v>194</v>
      </c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15"/>
      <c r="X124" s="15"/>
      <c r="Y124" s="15"/>
      <c r="Z124" s="15"/>
      <c r="AA124" s="20"/>
    </row>
    <row r="125" spans="2:39" ht="14.45" customHeight="1">
      <c r="B125" s="57">
        <v>30</v>
      </c>
      <c r="C125" s="66" t="s">
        <v>195</v>
      </c>
      <c r="D125" s="67"/>
      <c r="E125" s="67"/>
      <c r="F125" s="67"/>
      <c r="G125" s="68"/>
      <c r="H125" s="69"/>
      <c r="I125" s="70"/>
      <c r="J125" s="70"/>
      <c r="K125" s="71"/>
      <c r="L125" s="66" t="s">
        <v>196</v>
      </c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15"/>
      <c r="X125" s="15"/>
      <c r="Y125" s="15"/>
      <c r="Z125" s="15"/>
      <c r="AA125" s="20"/>
      <c r="AJ125" s="73"/>
      <c r="AK125" s="73"/>
      <c r="AL125" s="73"/>
      <c r="AM125" s="73"/>
    </row>
    <row r="126" spans="2:39" ht="14.45" customHeight="1">
      <c r="B126" s="57">
        <v>29</v>
      </c>
      <c r="C126" s="66" t="s">
        <v>197</v>
      </c>
      <c r="D126" s="67"/>
      <c r="E126" s="67"/>
      <c r="F126" s="67"/>
      <c r="G126" s="68"/>
      <c r="H126" s="69"/>
      <c r="I126" s="70"/>
      <c r="J126" s="70"/>
      <c r="K126" s="71"/>
      <c r="L126" s="66" t="s">
        <v>196</v>
      </c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15"/>
      <c r="X126" s="15"/>
      <c r="Y126" s="15"/>
      <c r="Z126" s="15"/>
      <c r="AA126" s="20"/>
      <c r="AJ126" s="73"/>
      <c r="AK126" s="73"/>
      <c r="AL126" s="73"/>
      <c r="AM126" s="73"/>
    </row>
    <row r="127" spans="2:39" ht="13.9" customHeight="1">
      <c r="B127" s="57">
        <v>28</v>
      </c>
      <c r="C127" s="66" t="s">
        <v>198</v>
      </c>
      <c r="D127" s="67"/>
      <c r="E127" s="67"/>
      <c r="F127" s="67"/>
      <c r="G127" s="68"/>
      <c r="H127" s="69" t="s">
        <v>199</v>
      </c>
      <c r="I127" s="70"/>
      <c r="J127" s="70"/>
      <c r="K127" s="71"/>
      <c r="L127" s="66" t="s">
        <v>200</v>
      </c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15"/>
      <c r="X127" s="15"/>
      <c r="Y127" s="15"/>
      <c r="Z127" s="15"/>
      <c r="AA127" s="20"/>
      <c r="AC127" s="73"/>
      <c r="AD127" s="73"/>
      <c r="AE127" s="73"/>
      <c r="AF127" s="73"/>
      <c r="AJ127" s="73"/>
      <c r="AK127" s="73"/>
      <c r="AL127" s="73"/>
      <c r="AM127" s="73"/>
    </row>
    <row r="128" spans="2:39" ht="13.9" customHeight="1">
      <c r="B128" s="57">
        <v>27</v>
      </c>
      <c r="C128" s="66" t="s">
        <v>201</v>
      </c>
      <c r="D128" s="67"/>
      <c r="E128" s="67"/>
      <c r="F128" s="67"/>
      <c r="G128" s="68"/>
      <c r="H128" s="69" t="s">
        <v>202</v>
      </c>
      <c r="I128" s="70"/>
      <c r="J128" s="70"/>
      <c r="K128" s="71"/>
      <c r="L128" s="66" t="s">
        <v>203</v>
      </c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15"/>
      <c r="X128" s="15"/>
      <c r="Y128" s="15"/>
      <c r="Z128" s="15"/>
      <c r="AA128" s="20"/>
      <c r="AC128" s="73"/>
      <c r="AD128" s="73"/>
      <c r="AE128" s="73"/>
      <c r="AF128" s="73"/>
      <c r="AJ128" s="73"/>
      <c r="AK128" s="73"/>
      <c r="AL128" s="73"/>
      <c r="AM128" s="73"/>
    </row>
    <row r="129" spans="1:57">
      <c r="B129" s="57">
        <v>26</v>
      </c>
      <c r="C129" s="66" t="s">
        <v>204</v>
      </c>
      <c r="D129" s="67"/>
      <c r="E129" s="67"/>
      <c r="F129" s="67"/>
      <c r="G129" s="68"/>
      <c r="H129" s="69" t="s">
        <v>205</v>
      </c>
      <c r="I129" s="70"/>
      <c r="J129" s="70"/>
      <c r="K129" s="71"/>
      <c r="L129" s="66" t="s">
        <v>206</v>
      </c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15"/>
      <c r="X129" s="15"/>
      <c r="Y129" s="15"/>
      <c r="Z129" s="15"/>
      <c r="AA129" s="20"/>
      <c r="AC129" s="73"/>
      <c r="AD129" s="73"/>
      <c r="AE129" s="73"/>
      <c r="AF129" s="73"/>
      <c r="AJ129" s="73"/>
      <c r="AK129" s="73"/>
      <c r="AL129" s="73"/>
      <c r="AM129" s="73"/>
    </row>
    <row r="130" spans="1:57">
      <c r="B130" s="57">
        <v>25</v>
      </c>
      <c r="C130" s="66" t="s">
        <v>207</v>
      </c>
      <c r="D130" s="67"/>
      <c r="E130" s="67"/>
      <c r="F130" s="67"/>
      <c r="G130" s="68"/>
      <c r="H130" s="69" t="s">
        <v>208</v>
      </c>
      <c r="I130" s="70"/>
      <c r="J130" s="70"/>
      <c r="K130" s="71"/>
      <c r="L130" s="66" t="s">
        <v>209</v>
      </c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15"/>
      <c r="X130" s="15"/>
      <c r="Y130" s="15"/>
      <c r="Z130" s="15"/>
      <c r="AA130" s="20"/>
      <c r="AJ130" s="73"/>
      <c r="AK130" s="73"/>
      <c r="AL130" s="73"/>
      <c r="AM130" s="73"/>
    </row>
    <row r="131" spans="1:57">
      <c r="B131" s="57">
        <v>24</v>
      </c>
      <c r="C131" s="66" t="s">
        <v>210</v>
      </c>
      <c r="D131" s="67"/>
      <c r="E131" s="67"/>
      <c r="F131" s="67"/>
      <c r="G131" s="68"/>
      <c r="H131" s="69" t="s">
        <v>211</v>
      </c>
      <c r="I131" s="70"/>
      <c r="J131" s="70"/>
      <c r="K131" s="71"/>
      <c r="L131" s="66" t="s">
        <v>212</v>
      </c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15"/>
      <c r="X131" s="15"/>
      <c r="Y131" s="15"/>
      <c r="Z131" s="15"/>
      <c r="AA131" s="20"/>
      <c r="AJ131" s="73"/>
      <c r="AK131" s="73"/>
      <c r="AL131" s="73"/>
      <c r="AM131" s="73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</row>
    <row r="132" spans="1:57">
      <c r="B132" s="57">
        <v>23</v>
      </c>
      <c r="C132" s="66" t="s">
        <v>213</v>
      </c>
      <c r="D132" s="67"/>
      <c r="E132" s="67"/>
      <c r="F132" s="67"/>
      <c r="G132" s="68"/>
      <c r="H132" s="69" t="s">
        <v>214</v>
      </c>
      <c r="I132" s="70"/>
      <c r="J132" s="70"/>
      <c r="K132" s="71"/>
      <c r="L132" s="66" t="s">
        <v>215</v>
      </c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15"/>
      <c r="X132" s="15"/>
      <c r="Y132" s="15"/>
      <c r="Z132" s="15"/>
      <c r="AA132" s="20"/>
      <c r="AJ132" s="72"/>
      <c r="AK132" s="72"/>
      <c r="AL132" s="72"/>
      <c r="AM132" s="72"/>
      <c r="AN132" s="72"/>
      <c r="AO132" s="73"/>
      <c r="AP132" s="73"/>
      <c r="AQ132" s="73"/>
      <c r="AR132" s="73"/>
      <c r="AS132" s="73"/>
      <c r="AT132" s="73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</row>
    <row r="133" spans="1:57">
      <c r="B133" s="57">
        <v>22</v>
      </c>
      <c r="C133" s="66" t="s">
        <v>216</v>
      </c>
      <c r="D133" s="67"/>
      <c r="E133" s="67"/>
      <c r="F133" s="67"/>
      <c r="G133" s="68"/>
      <c r="H133" s="69"/>
      <c r="I133" s="70"/>
      <c r="J133" s="70"/>
      <c r="K133" s="71"/>
      <c r="L133" s="66" t="s">
        <v>217</v>
      </c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15"/>
      <c r="X133" s="15"/>
      <c r="Y133" s="15"/>
      <c r="Z133" s="15"/>
      <c r="AA133" s="20"/>
      <c r="AJ133" s="72"/>
      <c r="AK133" s="72"/>
      <c r="AL133" s="72"/>
      <c r="AM133" s="72"/>
      <c r="AN133" s="72"/>
      <c r="AO133" s="73"/>
      <c r="AP133" s="73"/>
      <c r="AQ133" s="73"/>
      <c r="AR133" s="73"/>
      <c r="AS133" s="73"/>
      <c r="AT133" s="73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</row>
    <row r="134" spans="1:57">
      <c r="B134" s="57">
        <v>21</v>
      </c>
      <c r="C134" s="66" t="s">
        <v>218</v>
      </c>
      <c r="D134" s="67"/>
      <c r="E134" s="67"/>
      <c r="F134" s="67"/>
      <c r="G134" s="68"/>
      <c r="H134" s="69"/>
      <c r="I134" s="70"/>
      <c r="J134" s="70"/>
      <c r="K134" s="71"/>
      <c r="L134" s="66" t="s">
        <v>219</v>
      </c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15"/>
      <c r="X134" s="15"/>
      <c r="Y134" s="15"/>
      <c r="Z134" s="15"/>
      <c r="AA134" s="20"/>
      <c r="AJ134" s="72"/>
      <c r="AK134" s="72"/>
      <c r="AL134" s="72"/>
      <c r="AM134" s="72"/>
      <c r="AN134" s="72"/>
      <c r="AO134" s="73"/>
      <c r="AP134" s="73"/>
      <c r="AQ134" s="73"/>
      <c r="AR134" s="73"/>
      <c r="AS134" s="73"/>
      <c r="AT134" s="73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</row>
    <row r="135" spans="1:57">
      <c r="B135" s="57">
        <v>20</v>
      </c>
      <c r="C135" s="66" t="s">
        <v>220</v>
      </c>
      <c r="D135" s="67"/>
      <c r="E135" s="67"/>
      <c r="F135" s="67"/>
      <c r="G135" s="68"/>
      <c r="H135" s="69"/>
      <c r="I135" s="70"/>
      <c r="J135" s="70"/>
      <c r="K135" s="71"/>
      <c r="L135" s="66" t="s">
        <v>219</v>
      </c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15"/>
      <c r="X135" s="15"/>
      <c r="Y135" s="15"/>
      <c r="Z135" s="15"/>
      <c r="AA135" s="20"/>
      <c r="AJ135" s="72"/>
      <c r="AK135" s="72"/>
      <c r="AL135" s="72"/>
      <c r="AM135" s="72"/>
      <c r="AN135" s="72"/>
      <c r="AO135" s="73"/>
      <c r="AP135" s="73"/>
      <c r="AQ135" s="73"/>
      <c r="AR135" s="73"/>
      <c r="AS135" s="73"/>
      <c r="AT135" s="73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</row>
    <row r="136" spans="1:57">
      <c r="B136" s="57">
        <v>19</v>
      </c>
      <c r="C136" s="66" t="s">
        <v>221</v>
      </c>
      <c r="D136" s="67"/>
      <c r="E136" s="67"/>
      <c r="F136" s="67"/>
      <c r="G136" s="68"/>
      <c r="H136" s="69" t="s">
        <v>222</v>
      </c>
      <c r="I136" s="70"/>
      <c r="J136" s="70"/>
      <c r="K136" s="71"/>
      <c r="L136" s="66" t="s">
        <v>223</v>
      </c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15"/>
      <c r="X136" s="15"/>
      <c r="Y136" s="15"/>
      <c r="Z136" s="15"/>
      <c r="AA136" s="20"/>
      <c r="AJ136" s="72"/>
      <c r="AK136" s="72"/>
      <c r="AL136" s="72"/>
      <c r="AM136" s="72"/>
      <c r="AN136" s="72"/>
      <c r="AO136" s="73"/>
      <c r="AP136" s="73"/>
      <c r="AQ136" s="73"/>
      <c r="AR136" s="73"/>
      <c r="AS136" s="73"/>
      <c r="AT136" s="73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</row>
    <row r="137" spans="1:57">
      <c r="B137" s="57">
        <v>18</v>
      </c>
      <c r="C137" s="66" t="s">
        <v>224</v>
      </c>
      <c r="D137" s="67"/>
      <c r="E137" s="67"/>
      <c r="F137" s="67"/>
      <c r="G137" s="68"/>
      <c r="H137" s="69" t="s">
        <v>225</v>
      </c>
      <c r="I137" s="70"/>
      <c r="J137" s="70"/>
      <c r="K137" s="71"/>
      <c r="L137" s="66" t="s">
        <v>226</v>
      </c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15"/>
      <c r="X137" s="15"/>
      <c r="Y137" s="15"/>
      <c r="Z137" s="15"/>
      <c r="AA137" s="20"/>
      <c r="AJ137" s="72"/>
      <c r="AK137" s="72"/>
      <c r="AL137" s="72"/>
      <c r="AM137" s="72"/>
      <c r="AN137" s="72"/>
      <c r="AO137" s="73"/>
      <c r="AP137" s="73"/>
      <c r="AQ137" s="73"/>
      <c r="AR137" s="73"/>
      <c r="AS137" s="73"/>
      <c r="AT137" s="73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</row>
    <row r="138" spans="1:57">
      <c r="A138" s="19"/>
      <c r="B138" s="57">
        <v>17</v>
      </c>
      <c r="C138" s="66" t="s">
        <v>227</v>
      </c>
      <c r="D138" s="67"/>
      <c r="E138" s="67"/>
      <c r="F138" s="67"/>
      <c r="G138" s="68"/>
      <c r="H138" s="69" t="s">
        <v>228</v>
      </c>
      <c r="I138" s="70"/>
      <c r="J138" s="70"/>
      <c r="K138" s="71"/>
      <c r="L138" s="66" t="s">
        <v>229</v>
      </c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15"/>
      <c r="X138" s="15"/>
      <c r="Y138" s="15"/>
      <c r="Z138" s="15"/>
      <c r="AA138" s="20"/>
      <c r="AJ138" s="72"/>
      <c r="AK138" s="72"/>
      <c r="AL138" s="72"/>
      <c r="AM138" s="72"/>
      <c r="AN138" s="72"/>
      <c r="AO138" s="73"/>
      <c r="AP138" s="73"/>
      <c r="AQ138" s="73"/>
      <c r="AR138" s="73"/>
      <c r="AS138" s="73"/>
      <c r="AT138" s="73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</row>
    <row r="139" spans="1:57">
      <c r="A139" s="19"/>
      <c r="B139" s="57">
        <v>16</v>
      </c>
      <c r="C139" s="66" t="s">
        <v>230</v>
      </c>
      <c r="D139" s="67"/>
      <c r="E139" s="67"/>
      <c r="F139" s="67"/>
      <c r="G139" s="68"/>
      <c r="H139" s="69"/>
      <c r="I139" s="70"/>
      <c r="J139" s="70"/>
      <c r="K139" s="71"/>
      <c r="L139" s="66" t="s">
        <v>231</v>
      </c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15"/>
      <c r="X139" s="15"/>
      <c r="Y139" s="15"/>
      <c r="Z139" s="15"/>
      <c r="AA139" s="20"/>
      <c r="AJ139" s="72"/>
      <c r="AK139" s="72"/>
      <c r="AL139" s="72"/>
      <c r="AM139" s="72"/>
      <c r="AN139" s="72"/>
      <c r="AO139" s="73"/>
      <c r="AP139" s="73"/>
      <c r="AQ139" s="73"/>
      <c r="AR139" s="73"/>
      <c r="AS139" s="73"/>
      <c r="AT139" s="73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</row>
    <row r="140" spans="1:57">
      <c r="A140" s="19"/>
      <c r="B140" s="57">
        <v>15</v>
      </c>
      <c r="C140" s="74" t="s">
        <v>232</v>
      </c>
      <c r="D140" s="74"/>
      <c r="E140" s="74"/>
      <c r="F140" s="74"/>
      <c r="G140" s="74"/>
      <c r="H140" s="69"/>
      <c r="I140" s="70"/>
      <c r="J140" s="70"/>
      <c r="K140" s="71"/>
      <c r="L140" s="66" t="s">
        <v>231</v>
      </c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15"/>
      <c r="X140" s="15"/>
      <c r="Y140" s="15"/>
      <c r="Z140" s="15"/>
      <c r="AA140" s="20"/>
      <c r="AJ140" s="72"/>
      <c r="AK140" s="72"/>
      <c r="AL140" s="72"/>
      <c r="AM140" s="72"/>
      <c r="AN140" s="72"/>
      <c r="AO140" s="73"/>
      <c r="AP140" s="73"/>
      <c r="AQ140" s="73"/>
      <c r="AR140" s="73"/>
      <c r="AS140" s="73"/>
      <c r="AT140" s="73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</row>
    <row r="141" spans="1:57">
      <c r="A141" s="19"/>
      <c r="B141" s="57">
        <v>14</v>
      </c>
      <c r="C141" s="74" t="s">
        <v>233</v>
      </c>
      <c r="D141" s="74"/>
      <c r="E141" s="74"/>
      <c r="F141" s="74"/>
      <c r="G141" s="74"/>
      <c r="H141" s="69"/>
      <c r="I141" s="70"/>
      <c r="J141" s="70"/>
      <c r="K141" s="71"/>
      <c r="L141" s="66" t="s">
        <v>234</v>
      </c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15"/>
      <c r="X141" s="15"/>
      <c r="Y141" s="15"/>
      <c r="Z141" s="15"/>
      <c r="AA141" s="20"/>
      <c r="AJ141" s="72"/>
      <c r="AK141" s="72"/>
      <c r="AL141" s="72"/>
      <c r="AM141" s="72"/>
      <c r="AN141" s="72"/>
      <c r="AO141" s="73"/>
      <c r="AP141" s="73"/>
      <c r="AQ141" s="73"/>
      <c r="AR141" s="73"/>
      <c r="AS141" s="73"/>
      <c r="AT141" s="73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</row>
    <row r="142" spans="1:57">
      <c r="A142" s="19"/>
      <c r="B142" s="57">
        <v>13</v>
      </c>
      <c r="C142" s="76" t="s">
        <v>235</v>
      </c>
      <c r="D142" s="76"/>
      <c r="E142" s="76"/>
      <c r="F142" s="76"/>
      <c r="G142" s="76"/>
      <c r="H142" s="80" t="s">
        <v>236</v>
      </c>
      <c r="I142" s="81"/>
      <c r="J142" s="81"/>
      <c r="K142" s="82"/>
      <c r="L142" s="66" t="s">
        <v>237</v>
      </c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15"/>
      <c r="X142" s="15"/>
      <c r="Y142" s="15"/>
      <c r="Z142" s="15"/>
      <c r="AA142" s="20"/>
      <c r="AJ142" s="72"/>
      <c r="AK142" s="72"/>
      <c r="AL142" s="72"/>
      <c r="AM142" s="72"/>
      <c r="AN142" s="72"/>
      <c r="AO142" s="73"/>
      <c r="AP142" s="73"/>
      <c r="AQ142" s="73"/>
      <c r="AR142" s="73"/>
      <c r="AS142" s="73"/>
      <c r="AT142" s="73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</row>
    <row r="143" spans="1:57">
      <c r="A143" s="19"/>
      <c r="B143" s="57">
        <v>12</v>
      </c>
      <c r="C143" s="76" t="s">
        <v>238</v>
      </c>
      <c r="D143" s="76"/>
      <c r="E143" s="76"/>
      <c r="F143" s="76"/>
      <c r="G143" s="76"/>
      <c r="H143" s="80" t="s">
        <v>239</v>
      </c>
      <c r="I143" s="81"/>
      <c r="J143" s="81"/>
      <c r="K143" s="82"/>
      <c r="L143" s="66" t="s">
        <v>240</v>
      </c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15"/>
      <c r="X143" s="15"/>
      <c r="Y143" s="15"/>
      <c r="Z143" s="15"/>
      <c r="AA143" s="20"/>
    </row>
    <row r="144" spans="1:57">
      <c r="A144" s="19"/>
      <c r="B144" s="57">
        <v>11</v>
      </c>
      <c r="C144" s="76" t="s">
        <v>241</v>
      </c>
      <c r="D144" s="76"/>
      <c r="E144" s="76"/>
      <c r="F144" s="76"/>
      <c r="G144" s="76"/>
      <c r="H144" s="77" t="s">
        <v>242</v>
      </c>
      <c r="I144" s="78"/>
      <c r="J144" s="78"/>
      <c r="K144" s="79"/>
      <c r="L144" s="66" t="s">
        <v>243</v>
      </c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15"/>
      <c r="X144" s="15"/>
      <c r="Y144" s="15"/>
      <c r="Z144" s="15"/>
      <c r="AA144" s="20"/>
    </row>
    <row r="145" spans="1:57">
      <c r="A145" s="19"/>
      <c r="B145" s="57">
        <v>10</v>
      </c>
      <c r="C145" s="76" t="s">
        <v>244</v>
      </c>
      <c r="D145" s="76"/>
      <c r="E145" s="76"/>
      <c r="F145" s="76"/>
      <c r="G145" s="76"/>
      <c r="H145" s="77" t="s">
        <v>245</v>
      </c>
      <c r="I145" s="78"/>
      <c r="J145" s="78"/>
      <c r="K145" s="79"/>
      <c r="L145" s="66" t="s">
        <v>246</v>
      </c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15"/>
      <c r="X145" s="15"/>
      <c r="Y145" s="15"/>
      <c r="Z145" s="15"/>
      <c r="AA145" s="20"/>
    </row>
    <row r="146" spans="1:57">
      <c r="A146" s="19"/>
      <c r="B146" s="57" t="s">
        <v>247</v>
      </c>
      <c r="C146" s="66" t="s">
        <v>248</v>
      </c>
      <c r="D146" s="67"/>
      <c r="E146" s="67"/>
      <c r="F146" s="67"/>
      <c r="G146" s="68"/>
      <c r="H146" s="69" t="s">
        <v>249</v>
      </c>
      <c r="I146" s="70"/>
      <c r="J146" s="70"/>
      <c r="K146" s="71"/>
      <c r="L146" s="66" t="s">
        <v>250</v>
      </c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15"/>
      <c r="X146" s="15"/>
      <c r="Y146" s="15"/>
      <c r="Z146" s="15"/>
      <c r="AA146" s="20"/>
      <c r="AJ146" s="72"/>
      <c r="AK146" s="72"/>
      <c r="AL146" s="72"/>
      <c r="AM146" s="72"/>
      <c r="AN146" s="72"/>
      <c r="AO146" s="73"/>
      <c r="AP146" s="73"/>
      <c r="AQ146" s="73"/>
      <c r="AR146" s="73"/>
      <c r="AS146" s="73"/>
      <c r="AT146" s="73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</row>
    <row r="147" spans="1:57">
      <c r="A147" s="19"/>
      <c r="B147" s="57" t="s">
        <v>251</v>
      </c>
      <c r="C147" s="74" t="s">
        <v>252</v>
      </c>
      <c r="D147" s="74"/>
      <c r="E147" s="74"/>
      <c r="F147" s="74"/>
      <c r="G147" s="74"/>
      <c r="H147" s="69" t="s">
        <v>253</v>
      </c>
      <c r="I147" s="70"/>
      <c r="J147" s="70"/>
      <c r="K147" s="71"/>
      <c r="L147" s="66" t="s">
        <v>254</v>
      </c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15"/>
      <c r="X147" s="15"/>
      <c r="Y147" s="15"/>
      <c r="Z147" s="15"/>
      <c r="AA147" s="20"/>
      <c r="AJ147" s="72"/>
      <c r="AK147" s="72"/>
      <c r="AL147" s="72"/>
      <c r="AM147" s="72"/>
      <c r="AN147" s="72"/>
      <c r="AO147" s="73"/>
      <c r="AP147" s="73"/>
      <c r="AQ147" s="73"/>
      <c r="AR147" s="73"/>
      <c r="AS147" s="73"/>
      <c r="AT147" s="73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</row>
    <row r="148" spans="1:57">
      <c r="A148" s="19"/>
      <c r="B148" s="57" t="s">
        <v>255</v>
      </c>
      <c r="C148" s="74" t="s">
        <v>256</v>
      </c>
      <c r="D148" s="74"/>
      <c r="E148" s="74"/>
      <c r="F148" s="74"/>
      <c r="G148" s="74"/>
      <c r="H148" s="69" t="s">
        <v>257</v>
      </c>
      <c r="I148" s="70"/>
      <c r="J148" s="70"/>
      <c r="K148" s="71"/>
      <c r="L148" s="66" t="s">
        <v>258</v>
      </c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15"/>
      <c r="X148" s="15"/>
      <c r="Y148" s="15"/>
      <c r="Z148" s="15"/>
      <c r="AA148" s="20"/>
      <c r="AJ148" s="72"/>
      <c r="AK148" s="72"/>
      <c r="AL148" s="72"/>
      <c r="AM148" s="72"/>
      <c r="AN148" s="72"/>
      <c r="AO148" s="73"/>
      <c r="AP148" s="73"/>
      <c r="AQ148" s="73"/>
      <c r="AR148" s="73"/>
      <c r="AS148" s="73"/>
      <c r="AT148" s="73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</row>
    <row r="149" spans="1:57">
      <c r="A149" s="19"/>
      <c r="B149" s="57" t="s">
        <v>259</v>
      </c>
      <c r="C149" s="74" t="s">
        <v>260</v>
      </c>
      <c r="D149" s="74"/>
      <c r="E149" s="74"/>
      <c r="F149" s="74"/>
      <c r="G149" s="74"/>
      <c r="H149" s="69" t="s">
        <v>261</v>
      </c>
      <c r="I149" s="70"/>
      <c r="J149" s="70"/>
      <c r="K149" s="71"/>
      <c r="L149" s="66" t="s">
        <v>262</v>
      </c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15"/>
      <c r="X149" s="15"/>
      <c r="Y149" s="15"/>
      <c r="Z149" s="15"/>
      <c r="AA149" s="20"/>
      <c r="AJ149" s="72"/>
      <c r="AK149" s="72"/>
      <c r="AL149" s="72"/>
      <c r="AM149" s="72"/>
      <c r="AN149" s="72"/>
      <c r="AO149" s="73"/>
      <c r="AP149" s="73"/>
      <c r="AQ149" s="73"/>
      <c r="AR149" s="73"/>
      <c r="AS149" s="73"/>
      <c r="AT149" s="73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</row>
    <row r="150" spans="1:57">
      <c r="A150" s="19"/>
      <c r="B150" s="57" t="s">
        <v>263</v>
      </c>
      <c r="C150" s="74" t="s">
        <v>264</v>
      </c>
      <c r="D150" s="74"/>
      <c r="E150" s="74"/>
      <c r="F150" s="74"/>
      <c r="G150" s="74"/>
      <c r="H150" s="69" t="s">
        <v>261</v>
      </c>
      <c r="I150" s="70"/>
      <c r="J150" s="70"/>
      <c r="K150" s="71"/>
      <c r="L150" s="66" t="s">
        <v>265</v>
      </c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15"/>
      <c r="X150" s="15"/>
      <c r="Y150" s="15"/>
      <c r="Z150" s="15"/>
      <c r="AA150" s="20"/>
      <c r="AJ150" s="72"/>
      <c r="AK150" s="72"/>
      <c r="AL150" s="72"/>
      <c r="AM150" s="72"/>
      <c r="AN150" s="72"/>
      <c r="AO150" s="73"/>
      <c r="AP150" s="73"/>
      <c r="AQ150" s="73"/>
      <c r="AR150" s="73"/>
      <c r="AS150" s="73"/>
      <c r="AT150" s="73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</row>
    <row r="151" spans="1:57">
      <c r="A151" s="19"/>
      <c r="B151" s="57" t="s">
        <v>266</v>
      </c>
      <c r="C151" s="74" t="s">
        <v>267</v>
      </c>
      <c r="D151" s="74"/>
      <c r="E151" s="74"/>
      <c r="F151" s="74"/>
      <c r="G151" s="74"/>
      <c r="H151" s="69" t="s">
        <v>261</v>
      </c>
      <c r="I151" s="70"/>
      <c r="J151" s="70"/>
      <c r="K151" s="71"/>
      <c r="L151" s="66" t="s">
        <v>268</v>
      </c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15"/>
      <c r="X151" s="15"/>
      <c r="Y151" s="15"/>
      <c r="Z151" s="15"/>
      <c r="AA151" s="20"/>
      <c r="AJ151" s="72"/>
      <c r="AK151" s="72"/>
      <c r="AL151" s="72"/>
      <c r="AM151" s="72"/>
      <c r="AN151" s="72"/>
      <c r="AO151" s="73"/>
      <c r="AP151" s="73"/>
      <c r="AQ151" s="73"/>
      <c r="AR151" s="73"/>
      <c r="AS151" s="73"/>
      <c r="AT151" s="73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</row>
    <row r="152" spans="1:57">
      <c r="A152" s="19"/>
      <c r="B152" s="57" t="s">
        <v>269</v>
      </c>
      <c r="C152" s="74" t="s">
        <v>270</v>
      </c>
      <c r="D152" s="74"/>
      <c r="E152" s="74"/>
      <c r="F152" s="74"/>
      <c r="G152" s="74"/>
      <c r="H152" s="69" t="s">
        <v>261</v>
      </c>
      <c r="I152" s="70"/>
      <c r="J152" s="70"/>
      <c r="K152" s="71"/>
      <c r="L152" s="66" t="s">
        <v>271</v>
      </c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15"/>
      <c r="X152" s="15"/>
      <c r="Y152" s="15"/>
      <c r="Z152" s="15"/>
      <c r="AA152" s="20"/>
      <c r="AJ152" s="72"/>
      <c r="AK152" s="72"/>
      <c r="AL152" s="72"/>
      <c r="AM152" s="72"/>
      <c r="AN152" s="72"/>
      <c r="AO152" s="73"/>
      <c r="AP152" s="73"/>
      <c r="AQ152" s="73"/>
      <c r="AR152" s="73"/>
      <c r="AS152" s="73"/>
      <c r="AT152" s="73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</row>
    <row r="153" spans="1:57">
      <c r="A153" s="19"/>
      <c r="B153" s="57" t="s">
        <v>272</v>
      </c>
      <c r="C153" s="74" t="s">
        <v>273</v>
      </c>
      <c r="D153" s="74"/>
      <c r="E153" s="74"/>
      <c r="F153" s="74"/>
      <c r="G153" s="74"/>
      <c r="H153" s="69" t="s">
        <v>274</v>
      </c>
      <c r="I153" s="70"/>
      <c r="J153" s="70"/>
      <c r="K153" s="71"/>
      <c r="L153" s="66" t="s">
        <v>275</v>
      </c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15"/>
      <c r="X153" s="15"/>
      <c r="Y153" s="15"/>
      <c r="Z153" s="15"/>
      <c r="AA153" s="20"/>
    </row>
    <row r="154" spans="1:57">
      <c r="A154" s="19"/>
      <c r="B154" s="58" t="s">
        <v>276</v>
      </c>
      <c r="C154" s="87" t="s">
        <v>277</v>
      </c>
      <c r="D154" s="87"/>
      <c r="E154" s="87"/>
      <c r="F154" s="87"/>
      <c r="G154" s="87"/>
      <c r="H154" s="88" t="s">
        <v>23</v>
      </c>
      <c r="I154" s="89"/>
      <c r="J154" s="89"/>
      <c r="K154" s="90"/>
      <c r="L154" s="91" t="s">
        <v>278</v>
      </c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39"/>
      <c r="X154" s="39"/>
      <c r="Y154" s="39"/>
      <c r="Z154" s="39"/>
      <c r="AA154" s="20"/>
    </row>
    <row r="155" spans="1:57">
      <c r="A155" s="19"/>
      <c r="B155" s="21" t="s">
        <v>279</v>
      </c>
      <c r="C155" s="86" t="s">
        <v>280</v>
      </c>
      <c r="D155" s="86"/>
      <c r="E155" s="86"/>
      <c r="F155" s="86"/>
      <c r="G155" s="86"/>
      <c r="H155" s="83" t="s">
        <v>281</v>
      </c>
      <c r="I155" s="84"/>
      <c r="J155" s="84"/>
      <c r="K155" s="85"/>
      <c r="L155" s="83" t="s">
        <v>282</v>
      </c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5"/>
      <c r="AA155" s="20"/>
    </row>
    <row r="156" spans="1:57">
      <c r="A156" s="19"/>
      <c r="AA156" s="20"/>
    </row>
    <row r="157" spans="1:57">
      <c r="A157" s="1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4"/>
      <c r="T157" s="4"/>
      <c r="U157" s="4"/>
      <c r="V157" s="4"/>
      <c r="W157" s="4"/>
      <c r="X157" s="4"/>
      <c r="Y157" s="4"/>
      <c r="Z157" s="4"/>
      <c r="AA157" s="13"/>
    </row>
  </sheetData>
  <mergeCells count="399">
    <mergeCell ref="C102:G102"/>
    <mergeCell ref="H102:K102"/>
    <mergeCell ref="L102:V102"/>
    <mergeCell ref="C99:G99"/>
    <mergeCell ref="H99:K99"/>
    <mergeCell ref="L99:V99"/>
    <mergeCell ref="C100:G100"/>
    <mergeCell ref="H100:K100"/>
    <mergeCell ref="L100:V100"/>
    <mergeCell ref="C101:G101"/>
    <mergeCell ref="H101:K101"/>
    <mergeCell ref="L101:V101"/>
    <mergeCell ref="AT8:AU8"/>
    <mergeCell ref="AV8:AW8"/>
    <mergeCell ref="AZ9:BA9"/>
    <mergeCell ref="BM9:BN9"/>
    <mergeCell ref="BB8:BC8"/>
    <mergeCell ref="BE8:BF8"/>
    <mergeCell ref="BG8:BH8"/>
    <mergeCell ref="BI8:BJ8"/>
    <mergeCell ref="BK8:BL8"/>
    <mergeCell ref="BM8:BN8"/>
    <mergeCell ref="BB9:BC9"/>
    <mergeCell ref="BE9:BF9"/>
    <mergeCell ref="BG9:BH9"/>
    <mergeCell ref="AQ9:AR9"/>
    <mergeCell ref="BD1:BN1"/>
    <mergeCell ref="BK10:BL10"/>
    <mergeCell ref="BM10:BN10"/>
    <mergeCell ref="AS2:AS3"/>
    <mergeCell ref="AQ2:AR3"/>
    <mergeCell ref="AQ4:AR4"/>
    <mergeCell ref="AQ5:AR5"/>
    <mergeCell ref="AQ6:AR6"/>
    <mergeCell ref="AQ7:AR7"/>
    <mergeCell ref="AQ8:AR8"/>
    <mergeCell ref="AX10:AY10"/>
    <mergeCell ref="AZ10:BA10"/>
    <mergeCell ref="BB10:BC10"/>
    <mergeCell ref="BE10:BF10"/>
    <mergeCell ref="BG10:BH10"/>
    <mergeCell ref="BI10:BJ10"/>
    <mergeCell ref="BI9:BJ9"/>
    <mergeCell ref="BK9:BL9"/>
    <mergeCell ref="BI7:BJ7"/>
    <mergeCell ref="BK7:BL7"/>
    <mergeCell ref="AT9:AU9"/>
    <mergeCell ref="AV9:AW9"/>
    <mergeCell ref="AX9:AY9"/>
    <mergeCell ref="BM7:BN7"/>
    <mergeCell ref="BK6:BL6"/>
    <mergeCell ref="BM6:BN6"/>
    <mergeCell ref="AD7:AF7"/>
    <mergeCell ref="AG7:AH7"/>
    <mergeCell ref="AI7:AL7"/>
    <mergeCell ref="AM7:AP7"/>
    <mergeCell ref="AT7:AU7"/>
    <mergeCell ref="AV7:AW7"/>
    <mergeCell ref="AX7:AY7"/>
    <mergeCell ref="AZ7:BA7"/>
    <mergeCell ref="AX6:AY6"/>
    <mergeCell ref="AZ6:BA6"/>
    <mergeCell ref="BB6:BC6"/>
    <mergeCell ref="BE6:BF6"/>
    <mergeCell ref="BG6:BH6"/>
    <mergeCell ref="BI6:BJ6"/>
    <mergeCell ref="AD6:AF6"/>
    <mergeCell ref="AG6:AH6"/>
    <mergeCell ref="BB7:BC7"/>
    <mergeCell ref="BE7:BF7"/>
    <mergeCell ref="BG7:BH7"/>
    <mergeCell ref="BM5:BN5"/>
    <mergeCell ref="AI5:AL5"/>
    <mergeCell ref="AM5:AP5"/>
    <mergeCell ref="AT5:AU5"/>
    <mergeCell ref="AV5:AW5"/>
    <mergeCell ref="AX5:AY5"/>
    <mergeCell ref="AZ5:BA5"/>
    <mergeCell ref="BB4:BC4"/>
    <mergeCell ref="BE4:BF4"/>
    <mergeCell ref="BG4:BH4"/>
    <mergeCell ref="BI4:BJ4"/>
    <mergeCell ref="BK4:BL4"/>
    <mergeCell ref="BM4:BN4"/>
    <mergeCell ref="AI4:AL4"/>
    <mergeCell ref="AM4:AP4"/>
    <mergeCell ref="AT4:AU4"/>
    <mergeCell ref="AV4:AW4"/>
    <mergeCell ref="AX4:AY4"/>
    <mergeCell ref="AZ4:BA4"/>
    <mergeCell ref="BB5:BC5"/>
    <mergeCell ref="BE5:BF5"/>
    <mergeCell ref="BG5:BH5"/>
    <mergeCell ref="BI5:BJ5"/>
    <mergeCell ref="BK5:BL5"/>
    <mergeCell ref="BB3:BC3"/>
    <mergeCell ref="BG3:BH3"/>
    <mergeCell ref="BI3:BJ3"/>
    <mergeCell ref="BK3:BL3"/>
    <mergeCell ref="BM3:BN3"/>
    <mergeCell ref="AT2:AU3"/>
    <mergeCell ref="AV2:AY2"/>
    <mergeCell ref="AZ2:BC2"/>
    <mergeCell ref="BD2:BD3"/>
    <mergeCell ref="BE2:BF3"/>
    <mergeCell ref="BG2:BJ2"/>
    <mergeCell ref="BK2:BN2"/>
    <mergeCell ref="AV3:AW3"/>
    <mergeCell ref="AD1:AF3"/>
    <mergeCell ref="AG1:AH3"/>
    <mergeCell ref="AD4:AF4"/>
    <mergeCell ref="AG4:AH4"/>
    <mergeCell ref="AD5:AF5"/>
    <mergeCell ref="AG5:AH5"/>
    <mergeCell ref="X10:Y10"/>
    <mergeCell ref="X17:Y17"/>
    <mergeCell ref="AZ3:BA3"/>
    <mergeCell ref="AI6:AL6"/>
    <mergeCell ref="AM6:AP6"/>
    <mergeCell ref="AT6:AU6"/>
    <mergeCell ref="AV6:AW6"/>
    <mergeCell ref="AX8:AY8"/>
    <mergeCell ref="AZ8:BA8"/>
    <mergeCell ref="AD10:AF10"/>
    <mergeCell ref="AG10:AH10"/>
    <mergeCell ref="AI10:AL10"/>
    <mergeCell ref="AM10:AP10"/>
    <mergeCell ref="AT10:AU10"/>
    <mergeCell ref="AV10:AW10"/>
    <mergeCell ref="AQ10:AR10"/>
    <mergeCell ref="AQ1:BC1"/>
    <mergeCell ref="X4:Y4"/>
    <mergeCell ref="C126:G126"/>
    <mergeCell ref="C123:G123"/>
    <mergeCell ref="H123:K123"/>
    <mergeCell ref="L123:V123"/>
    <mergeCell ref="C118:G118"/>
    <mergeCell ref="C119:G119"/>
    <mergeCell ref="C120:G120"/>
    <mergeCell ref="C121:G121"/>
    <mergeCell ref="H118:K118"/>
    <mergeCell ref="H119:K119"/>
    <mergeCell ref="H120:K120"/>
    <mergeCell ref="H121:K121"/>
    <mergeCell ref="C122:G122"/>
    <mergeCell ref="H122:K122"/>
    <mergeCell ref="L118:V118"/>
    <mergeCell ref="L119:V119"/>
    <mergeCell ref="L120:V120"/>
    <mergeCell ref="L121:V121"/>
    <mergeCell ref="C111:G111"/>
    <mergeCell ref="H111:K111"/>
    <mergeCell ref="L111:V111"/>
    <mergeCell ref="C112:G112"/>
    <mergeCell ref="H112:K112"/>
    <mergeCell ref="L112:V112"/>
    <mergeCell ref="C113:G113"/>
    <mergeCell ref="L122:V122"/>
    <mergeCell ref="C125:G125"/>
    <mergeCell ref="H125:K125"/>
    <mergeCell ref="L125:V125"/>
    <mergeCell ref="C124:G124"/>
    <mergeCell ref="H124:K124"/>
    <mergeCell ref="L124:V124"/>
    <mergeCell ref="C117:G117"/>
    <mergeCell ref="H117:K117"/>
    <mergeCell ref="L117:V117"/>
    <mergeCell ref="C114:G114"/>
    <mergeCell ref="C115:G115"/>
    <mergeCell ref="C116:G116"/>
    <mergeCell ref="X6:Y6"/>
    <mergeCell ref="X7:Y7"/>
    <mergeCell ref="X8:Y8"/>
    <mergeCell ref="X9:Y9"/>
    <mergeCell ref="L113:V113"/>
    <mergeCell ref="H116:K116"/>
    <mergeCell ref="L116:V116"/>
    <mergeCell ref="AL36:AP36"/>
    <mergeCell ref="H113:K113"/>
    <mergeCell ref="H114:K114"/>
    <mergeCell ref="L114:V114"/>
    <mergeCell ref="H115:K115"/>
    <mergeCell ref="L115:V115"/>
    <mergeCell ref="AD9:AF9"/>
    <mergeCell ref="AG9:AH9"/>
    <mergeCell ref="AI9:AL9"/>
    <mergeCell ref="AM9:AP9"/>
    <mergeCell ref="AD8:AF8"/>
    <mergeCell ref="AG8:AH8"/>
    <mergeCell ref="AI8:AL8"/>
    <mergeCell ref="AM8:AP8"/>
    <mergeCell ref="AQ36:AV36"/>
    <mergeCell ref="AL37:AP37"/>
    <mergeCell ref="AQ37:AV37"/>
    <mergeCell ref="X2:Z2"/>
    <mergeCell ref="X31:Y31"/>
    <mergeCell ref="AI1:AL3"/>
    <mergeCell ref="AM1:AP3"/>
    <mergeCell ref="AX3:AY3"/>
    <mergeCell ref="X21:Y21"/>
    <mergeCell ref="X22:Y22"/>
    <mergeCell ref="X23:Y23"/>
    <mergeCell ref="X24:Y24"/>
    <mergeCell ref="AL35:AP35"/>
    <mergeCell ref="AQ35:AV35"/>
    <mergeCell ref="X18:Y18"/>
    <mergeCell ref="X19:Y19"/>
    <mergeCell ref="X20:Y20"/>
    <mergeCell ref="X11:Y11"/>
    <mergeCell ref="X12:Y12"/>
    <mergeCell ref="X13:Y13"/>
    <mergeCell ref="X14:Y14"/>
    <mergeCell ref="X15:Y15"/>
    <mergeCell ref="X16:Y16"/>
    <mergeCell ref="X5:Y5"/>
    <mergeCell ref="L141:V141"/>
    <mergeCell ref="L142:V142"/>
    <mergeCell ref="L143:V143"/>
    <mergeCell ref="L144:V144"/>
    <mergeCell ref="L154:V154"/>
    <mergeCell ref="L148:V148"/>
    <mergeCell ref="L146:V146"/>
    <mergeCell ref="L147:V147"/>
    <mergeCell ref="L145:V145"/>
    <mergeCell ref="L155:Z155"/>
    <mergeCell ref="H152:K152"/>
    <mergeCell ref="C151:G151"/>
    <mergeCell ref="L152:V152"/>
    <mergeCell ref="L153:V153"/>
    <mergeCell ref="C155:G155"/>
    <mergeCell ref="H155:K155"/>
    <mergeCell ref="C143:G143"/>
    <mergeCell ref="C144:G144"/>
    <mergeCell ref="C153:G153"/>
    <mergeCell ref="C154:G154"/>
    <mergeCell ref="C152:G152"/>
    <mergeCell ref="C149:G149"/>
    <mergeCell ref="C150:G150"/>
    <mergeCell ref="L150:V150"/>
    <mergeCell ref="L151:V151"/>
    <mergeCell ref="L149:V149"/>
    <mergeCell ref="H149:K149"/>
    <mergeCell ref="H150:K150"/>
    <mergeCell ref="H154:K154"/>
    <mergeCell ref="H153:K153"/>
    <mergeCell ref="H151:K151"/>
    <mergeCell ref="C141:G141"/>
    <mergeCell ref="C142:G142"/>
    <mergeCell ref="H147:K147"/>
    <mergeCell ref="H148:K148"/>
    <mergeCell ref="H145:K145"/>
    <mergeCell ref="H146:K146"/>
    <mergeCell ref="H143:K143"/>
    <mergeCell ref="H144:K144"/>
    <mergeCell ref="H126:K126"/>
    <mergeCell ref="H141:K141"/>
    <mergeCell ref="H142:K142"/>
    <mergeCell ref="C147:G147"/>
    <mergeCell ref="C148:G148"/>
    <mergeCell ref="C145:G145"/>
    <mergeCell ref="C146:G146"/>
    <mergeCell ref="C136:G136"/>
    <mergeCell ref="H136:K136"/>
    <mergeCell ref="C135:G135"/>
    <mergeCell ref="H135:K135"/>
    <mergeCell ref="C131:G131"/>
    <mergeCell ref="H131:K131"/>
    <mergeCell ref="C130:G130"/>
    <mergeCell ref="H130:K130"/>
    <mergeCell ref="C133:G133"/>
    <mergeCell ref="H133:K133"/>
    <mergeCell ref="L133:V133"/>
    <mergeCell ref="C127:G127"/>
    <mergeCell ref="L130:V130"/>
    <mergeCell ref="C134:G134"/>
    <mergeCell ref="H134:K134"/>
    <mergeCell ref="L134:V134"/>
    <mergeCell ref="C138:G138"/>
    <mergeCell ref="H138:K138"/>
    <mergeCell ref="L138:V138"/>
    <mergeCell ref="C137:G137"/>
    <mergeCell ref="L135:V135"/>
    <mergeCell ref="L131:V131"/>
    <mergeCell ref="H127:K127"/>
    <mergeCell ref="L127:V127"/>
    <mergeCell ref="L140:V140"/>
    <mergeCell ref="H137:K137"/>
    <mergeCell ref="L137:V137"/>
    <mergeCell ref="L132:V132"/>
    <mergeCell ref="C140:G140"/>
    <mergeCell ref="H139:K139"/>
    <mergeCell ref="H140:K140"/>
    <mergeCell ref="X25:Y25"/>
    <mergeCell ref="X26:Y26"/>
    <mergeCell ref="X27:Y27"/>
    <mergeCell ref="X28:Y28"/>
    <mergeCell ref="X29:Y29"/>
    <mergeCell ref="X30:Y30"/>
    <mergeCell ref="C139:G139"/>
    <mergeCell ref="L126:V126"/>
    <mergeCell ref="C129:G129"/>
    <mergeCell ref="H129:K129"/>
    <mergeCell ref="L129:V129"/>
    <mergeCell ref="C128:G128"/>
    <mergeCell ref="H128:K128"/>
    <mergeCell ref="L128:V128"/>
    <mergeCell ref="C132:G132"/>
    <mergeCell ref="H132:K132"/>
    <mergeCell ref="L136:V136"/>
    <mergeCell ref="AJ125:AM125"/>
    <mergeCell ref="AJ126:AM126"/>
    <mergeCell ref="AJ127:AM127"/>
    <mergeCell ref="AJ128:AM128"/>
    <mergeCell ref="AJ129:AM129"/>
    <mergeCell ref="AJ130:AM130"/>
    <mergeCell ref="AJ131:AM131"/>
    <mergeCell ref="L139:V139"/>
    <mergeCell ref="AJ139:AN139"/>
    <mergeCell ref="AJ140:AN140"/>
    <mergeCell ref="AO140:AT140"/>
    <mergeCell ref="AU140:BE140"/>
    <mergeCell ref="AC127:AF127"/>
    <mergeCell ref="AC128:AF128"/>
    <mergeCell ref="AC129:AF129"/>
    <mergeCell ref="AJ138:AN138"/>
    <mergeCell ref="AO138:AT138"/>
    <mergeCell ref="AU138:BE138"/>
    <mergeCell ref="AN131:AZ131"/>
    <mergeCell ref="AJ136:AN136"/>
    <mergeCell ref="AO136:AT136"/>
    <mergeCell ref="AU136:BE136"/>
    <mergeCell ref="AJ134:AN134"/>
    <mergeCell ref="AO134:AT134"/>
    <mergeCell ref="AU134:BE134"/>
    <mergeCell ref="AJ135:AN135"/>
    <mergeCell ref="AO135:AT135"/>
    <mergeCell ref="AU135:BE135"/>
    <mergeCell ref="AJ137:AN137"/>
    <mergeCell ref="AO137:AT137"/>
    <mergeCell ref="AU137:BE137"/>
    <mergeCell ref="AO139:AT139"/>
    <mergeCell ref="AU139:BE139"/>
    <mergeCell ref="AO147:AT147"/>
    <mergeCell ref="AU147:BE147"/>
    <mergeCell ref="AJ148:AN148"/>
    <mergeCell ref="AJ149:AN149"/>
    <mergeCell ref="AO149:AT149"/>
    <mergeCell ref="AU149:BE149"/>
    <mergeCell ref="AJ150:AN150"/>
    <mergeCell ref="AO150:AT150"/>
    <mergeCell ref="AU150:BE150"/>
    <mergeCell ref="AJ152:AN152"/>
    <mergeCell ref="AO152:AT152"/>
    <mergeCell ref="AU152:BE152"/>
    <mergeCell ref="AJ132:AN132"/>
    <mergeCell ref="AO132:AT132"/>
    <mergeCell ref="AU132:BE132"/>
    <mergeCell ref="AJ133:AN133"/>
    <mergeCell ref="AO133:AT133"/>
    <mergeCell ref="AU133:BE133"/>
    <mergeCell ref="AO148:AT148"/>
    <mergeCell ref="AU148:BE148"/>
    <mergeCell ref="AJ141:AN141"/>
    <mergeCell ref="AO141:AT141"/>
    <mergeCell ref="AU141:BE141"/>
    <mergeCell ref="AJ142:AN142"/>
    <mergeCell ref="AO142:AT142"/>
    <mergeCell ref="AU142:BE142"/>
    <mergeCell ref="AJ151:AN151"/>
    <mergeCell ref="AO151:AT151"/>
    <mergeCell ref="AU151:BE151"/>
    <mergeCell ref="AJ146:AN146"/>
    <mergeCell ref="AO146:AT146"/>
    <mergeCell ref="AU146:BE146"/>
    <mergeCell ref="AJ147:AN147"/>
    <mergeCell ref="C103:G103"/>
    <mergeCell ref="H103:K103"/>
    <mergeCell ref="L103:V103"/>
    <mergeCell ref="C104:G104"/>
    <mergeCell ref="H104:K104"/>
    <mergeCell ref="L104:V104"/>
    <mergeCell ref="C105:G105"/>
    <mergeCell ref="H105:K105"/>
    <mergeCell ref="L105:V105"/>
    <mergeCell ref="C109:G109"/>
    <mergeCell ref="H109:K109"/>
    <mergeCell ref="L109:V109"/>
    <mergeCell ref="C110:G110"/>
    <mergeCell ref="H110:K110"/>
    <mergeCell ref="L110:V110"/>
    <mergeCell ref="C106:G106"/>
    <mergeCell ref="H106:K106"/>
    <mergeCell ref="L106:V106"/>
    <mergeCell ref="C107:G107"/>
    <mergeCell ref="H107:K107"/>
    <mergeCell ref="L107:V107"/>
    <mergeCell ref="C108:G108"/>
    <mergeCell ref="H108:K108"/>
    <mergeCell ref="L108:V108"/>
  </mergeCells>
  <phoneticPr fontId="13" type="noConversion"/>
  <hyperlinks>
    <hyperlink ref="AQ4:AR4" location="'Interface device list'!A1" display="Detail" xr:uid="{3934B32B-6271-4FE0-8071-7C5D75C7C49B}"/>
    <hyperlink ref="AQ5:AR5" location="'Interface device list'!AJ1" display="Detail" xr:uid="{0CBA33A7-943D-46A5-A500-0D4E632E34A5}"/>
    <hyperlink ref="AQ6:AR6" location="'Interface device list'!BL1" display="Detail" xr:uid="{1C3A0D72-4425-4317-9050-8A81B71B5303}"/>
    <hyperlink ref="AQ7:AR7" location="'Interface device list'!CO1" display="Detail" xr:uid="{A5D17650-3D58-46B0-9787-BB3079AD55F5}"/>
    <hyperlink ref="AQ8:AR8" location="'Interface device list'!DQ1" display="Detail" xr:uid="{7F2049B7-8BA5-498D-896F-E0A9C5CA1A84}"/>
    <hyperlink ref="AQ9:AR9" location="'Interface device list'!ES1" display="Detail" xr:uid="{DD1B35B4-F485-4C4C-86FB-39BFE1EA9AD0}"/>
  </hyperlinks>
  <printOptions horizontalCentered="1"/>
  <pageMargins left="0.25" right="0.2" top="0.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B1:GA68"/>
  <sheetViews>
    <sheetView showGridLines="0" topLeftCell="EX4" zoomScale="106" zoomScaleNormal="106" workbookViewId="0">
      <selection activeCell="FA33" sqref="FA25:FE33"/>
    </sheetView>
  </sheetViews>
  <sheetFormatPr defaultColWidth="4.7109375" defaultRowHeight="16.5"/>
  <cols>
    <col min="1" max="1" width="1.7109375" style="6" customWidth="1"/>
    <col min="2" max="2" width="10.7109375" style="6" customWidth="1"/>
    <col min="3" max="4" width="4.7109375" style="6"/>
    <col min="5" max="5" width="6.28515625" style="6" customWidth="1"/>
    <col min="6" max="6" width="4.7109375" style="6"/>
    <col min="7" max="7" width="6.5703125" style="6" customWidth="1"/>
    <col min="8" max="8" width="4.7109375" style="6"/>
    <col min="9" max="9" width="10.140625" style="6" customWidth="1"/>
    <col min="10" max="38" width="4.7109375" style="6"/>
    <col min="39" max="41" width="4.7109375" style="1"/>
    <col min="42" max="42" width="4.7109375" style="6" customWidth="1"/>
    <col min="43" max="43" width="10.5703125" style="6" customWidth="1"/>
    <col min="44" max="56" width="4.7109375" style="6"/>
    <col min="57" max="61" width="6.42578125" style="6" customWidth="1"/>
    <col min="62" max="148" width="4.7109375" style="6"/>
    <col min="149" max="149" width="19.85546875" style="6" bestFit="1" customWidth="1"/>
    <col min="150" max="161" width="4.7109375" style="6"/>
    <col min="162" max="164" width="9.28515625" style="6" customWidth="1"/>
    <col min="165" max="174" width="4.7109375" style="6"/>
    <col min="175" max="175" width="6" style="6" bestFit="1" customWidth="1"/>
    <col min="176" max="177" width="4.7109375" style="6"/>
    <col min="178" max="178" width="6.42578125" style="6" bestFit="1" customWidth="1"/>
    <col min="179" max="179" width="8" style="6" bestFit="1" customWidth="1"/>
    <col min="180" max="16384" width="4.7109375" style="6"/>
  </cols>
  <sheetData>
    <row r="1" spans="2:183" ht="16.149999999999999" customHeight="1">
      <c r="B1" s="49" t="s">
        <v>283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AJ1" s="49" t="s">
        <v>283</v>
      </c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BL1" s="49" t="s">
        <v>283</v>
      </c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CO1" s="49" t="s">
        <v>283</v>
      </c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Q1" s="49" t="s">
        <v>283</v>
      </c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S1" s="49" t="s">
        <v>283</v>
      </c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</row>
    <row r="2" spans="2:183">
      <c r="B2" s="5" t="s">
        <v>284</v>
      </c>
      <c r="AJ2" s="5" t="s">
        <v>284</v>
      </c>
      <c r="AM2" s="6"/>
      <c r="AN2" s="6"/>
      <c r="AO2" s="6"/>
      <c r="BL2" s="5" t="s">
        <v>284</v>
      </c>
      <c r="CO2" s="5" t="s">
        <v>284</v>
      </c>
      <c r="DQ2" s="5" t="s">
        <v>284</v>
      </c>
      <c r="ES2" s="5" t="s">
        <v>284</v>
      </c>
      <c r="FG2" s="60"/>
    </row>
    <row r="3" spans="2:183">
      <c r="B3" s="5" t="s">
        <v>285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Q3" s="1"/>
      <c r="R3" s="1"/>
      <c r="S3" s="1"/>
      <c r="T3" s="1"/>
      <c r="U3" s="1"/>
      <c r="V3" s="1"/>
      <c r="AJ3" s="5" t="s">
        <v>285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L3" s="5" t="s">
        <v>285</v>
      </c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CA3" s="1"/>
      <c r="CB3" s="1"/>
      <c r="CC3" s="1"/>
      <c r="CD3" s="1"/>
      <c r="CO3" s="5" t="s">
        <v>285</v>
      </c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D3" s="1"/>
      <c r="DE3" s="1"/>
      <c r="DF3" s="1"/>
      <c r="DG3" s="1"/>
      <c r="DH3" s="1"/>
      <c r="DQ3" s="5" t="s">
        <v>285</v>
      </c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F3" s="1"/>
      <c r="ES3" s="5" t="s">
        <v>285</v>
      </c>
      <c r="ET3" s="5"/>
      <c r="EU3" s="5"/>
      <c r="EV3" s="5"/>
      <c r="EW3" s="5"/>
      <c r="EX3" s="5"/>
      <c r="EY3" s="5"/>
      <c r="EZ3" s="5"/>
      <c r="FA3" s="5"/>
      <c r="FH3" s="1"/>
    </row>
    <row r="4" spans="2:183"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2"/>
      <c r="AM4" s="6"/>
      <c r="AN4" s="6"/>
      <c r="AO4" s="6"/>
    </row>
    <row r="5" spans="2:183">
      <c r="B5" s="164" t="s">
        <v>286</v>
      </c>
      <c r="C5" s="178"/>
      <c r="D5" s="163" t="s">
        <v>12</v>
      </c>
      <c r="E5" s="178"/>
      <c r="F5" s="163" t="s">
        <v>5</v>
      </c>
      <c r="G5" s="178"/>
      <c r="H5" s="163" t="s">
        <v>13</v>
      </c>
      <c r="I5" s="178"/>
      <c r="J5" s="179" t="s">
        <v>287</v>
      </c>
      <c r="K5" s="179"/>
      <c r="L5" s="179"/>
      <c r="M5" s="179"/>
      <c r="N5" s="179"/>
      <c r="O5" s="163" t="s">
        <v>288</v>
      </c>
      <c r="P5" s="164"/>
      <c r="Q5" s="178"/>
      <c r="R5" s="172" t="s">
        <v>289</v>
      </c>
      <c r="S5" s="173"/>
      <c r="T5" s="173"/>
      <c r="U5" s="173"/>
      <c r="V5" s="173"/>
      <c r="W5" s="172" t="s">
        <v>290</v>
      </c>
      <c r="X5" s="173"/>
      <c r="Y5" s="173"/>
      <c r="Z5" s="173"/>
      <c r="AA5" s="173"/>
      <c r="AJ5" s="164" t="s">
        <v>286</v>
      </c>
      <c r="AK5" s="178"/>
      <c r="AL5" s="163" t="s">
        <v>12</v>
      </c>
      <c r="AM5" s="178"/>
      <c r="AN5" s="163" t="s">
        <v>5</v>
      </c>
      <c r="AO5" s="178"/>
      <c r="AP5" s="163" t="s">
        <v>13</v>
      </c>
      <c r="AQ5" s="178"/>
      <c r="AR5" s="179" t="s">
        <v>287</v>
      </c>
      <c r="AS5" s="179"/>
      <c r="AT5" s="179"/>
      <c r="AU5" s="179"/>
      <c r="AV5" s="179"/>
      <c r="AW5" s="163" t="s">
        <v>288</v>
      </c>
      <c r="AX5" s="164"/>
      <c r="AY5" s="178"/>
      <c r="AZ5" s="172" t="s">
        <v>289</v>
      </c>
      <c r="BA5" s="173"/>
      <c r="BB5" s="173"/>
      <c r="BC5" s="173"/>
      <c r="BD5" s="173"/>
      <c r="BE5" s="172" t="s">
        <v>290</v>
      </c>
      <c r="BF5" s="173"/>
      <c r="BG5" s="173"/>
      <c r="BH5" s="173"/>
      <c r="BI5" s="173"/>
      <c r="BJ5" s="50"/>
      <c r="BL5" s="164" t="s">
        <v>286</v>
      </c>
      <c r="BM5" s="178"/>
      <c r="BN5" s="163" t="s">
        <v>12</v>
      </c>
      <c r="BO5" s="178"/>
      <c r="BP5" s="163" t="s">
        <v>5</v>
      </c>
      <c r="BQ5" s="178"/>
      <c r="BR5" s="163" t="s">
        <v>13</v>
      </c>
      <c r="BS5" s="178"/>
      <c r="BT5" s="179" t="s">
        <v>287</v>
      </c>
      <c r="BU5" s="179"/>
      <c r="BV5" s="179"/>
      <c r="BW5" s="179"/>
      <c r="BX5" s="163"/>
      <c r="BY5" s="194" t="s">
        <v>288</v>
      </c>
      <c r="BZ5" s="164"/>
      <c r="CA5" s="178"/>
      <c r="CB5" s="172" t="s">
        <v>291</v>
      </c>
      <c r="CC5" s="173"/>
      <c r="CD5" s="173"/>
      <c r="CE5" s="173"/>
      <c r="CF5" s="173"/>
      <c r="CG5" s="172" t="s">
        <v>290</v>
      </c>
      <c r="CH5" s="173"/>
      <c r="CI5" s="173"/>
      <c r="CJ5" s="173"/>
      <c r="CK5" s="173"/>
      <c r="CO5" s="164" t="s">
        <v>286</v>
      </c>
      <c r="CP5" s="178"/>
      <c r="CQ5" s="163" t="s">
        <v>12</v>
      </c>
      <c r="CR5" s="178"/>
      <c r="CS5" s="163" t="s">
        <v>5</v>
      </c>
      <c r="CT5" s="178"/>
      <c r="CU5" s="163" t="s">
        <v>13</v>
      </c>
      <c r="CV5" s="178"/>
      <c r="CW5" s="179" t="s">
        <v>287</v>
      </c>
      <c r="CX5" s="179"/>
      <c r="CY5" s="179"/>
      <c r="CZ5" s="179"/>
      <c r="DA5" s="179"/>
      <c r="DB5" s="163" t="s">
        <v>288</v>
      </c>
      <c r="DC5" s="164"/>
      <c r="DD5" s="178"/>
      <c r="DE5" s="172" t="s">
        <v>291</v>
      </c>
      <c r="DF5" s="173"/>
      <c r="DG5" s="173"/>
      <c r="DH5" s="173"/>
      <c r="DI5" s="173"/>
      <c r="DJ5" s="172" t="s">
        <v>290</v>
      </c>
      <c r="DK5" s="173"/>
      <c r="DL5" s="173"/>
      <c r="DM5" s="173"/>
      <c r="DN5" s="173"/>
      <c r="DQ5" s="164" t="s">
        <v>286</v>
      </c>
      <c r="DR5" s="178"/>
      <c r="DS5" s="163" t="s">
        <v>12</v>
      </c>
      <c r="DT5" s="178"/>
      <c r="DU5" s="163" t="s">
        <v>5</v>
      </c>
      <c r="DV5" s="178"/>
      <c r="DW5" s="163" t="s">
        <v>13</v>
      </c>
      <c r="DX5" s="178"/>
      <c r="DY5" s="179" t="s">
        <v>287</v>
      </c>
      <c r="DZ5" s="179"/>
      <c r="EA5" s="179"/>
      <c r="EB5" s="179"/>
      <c r="EC5" s="179"/>
      <c r="ED5" s="163" t="s">
        <v>288</v>
      </c>
      <c r="EE5" s="164"/>
      <c r="EF5" s="178"/>
      <c r="EG5" s="172" t="s">
        <v>292</v>
      </c>
      <c r="EH5" s="173"/>
      <c r="EI5" s="173"/>
      <c r="EJ5" s="173"/>
      <c r="EK5" s="173"/>
      <c r="EL5" s="172" t="s">
        <v>290</v>
      </c>
      <c r="EM5" s="173"/>
      <c r="EN5" s="173"/>
      <c r="EO5" s="173"/>
      <c r="EP5" s="173"/>
      <c r="ES5" s="164" t="s">
        <v>286</v>
      </c>
      <c r="ET5" s="178"/>
      <c r="EU5" s="163" t="s">
        <v>12</v>
      </c>
      <c r="EV5" s="178"/>
      <c r="EW5" s="163" t="s">
        <v>5</v>
      </c>
      <c r="EX5" s="178"/>
      <c r="EY5" s="163" t="s">
        <v>13</v>
      </c>
      <c r="EZ5" s="178"/>
      <c r="FA5" s="179" t="s">
        <v>287</v>
      </c>
      <c r="FB5" s="179"/>
      <c r="FC5" s="179"/>
      <c r="FD5" s="179"/>
      <c r="FE5" s="179"/>
      <c r="FF5" s="163" t="s">
        <v>288</v>
      </c>
      <c r="FG5" s="164"/>
      <c r="FH5" s="178"/>
      <c r="FI5" s="172" t="s">
        <v>292</v>
      </c>
      <c r="FJ5" s="173"/>
      <c r="FK5" s="173"/>
      <c r="FL5" s="173"/>
      <c r="FM5" s="173"/>
      <c r="FN5" s="172" t="s">
        <v>290</v>
      </c>
      <c r="FO5" s="173"/>
      <c r="FP5" s="173"/>
      <c r="FQ5" s="173"/>
      <c r="FR5" s="173"/>
    </row>
    <row r="6" spans="2:183">
      <c r="B6" s="149" t="s">
        <v>293</v>
      </c>
      <c r="C6" s="150"/>
      <c r="D6" s="148" t="s">
        <v>25</v>
      </c>
      <c r="E6" s="150"/>
      <c r="F6" s="148">
        <v>0</v>
      </c>
      <c r="G6" s="150"/>
      <c r="H6" s="148">
        <v>1400</v>
      </c>
      <c r="I6" s="150"/>
      <c r="J6" s="162" t="s">
        <v>294</v>
      </c>
      <c r="K6" s="162"/>
      <c r="L6" s="162"/>
      <c r="M6" s="162"/>
      <c r="N6" s="162"/>
      <c r="O6" s="148" t="s">
        <v>295</v>
      </c>
      <c r="P6" s="149"/>
      <c r="Q6" s="150"/>
      <c r="R6" s="174" t="s">
        <v>296</v>
      </c>
      <c r="S6" s="175"/>
      <c r="T6" s="175"/>
      <c r="U6" s="175"/>
      <c r="V6" s="175"/>
      <c r="W6" s="174" t="s">
        <v>297</v>
      </c>
      <c r="X6" s="175"/>
      <c r="Y6" s="175"/>
      <c r="Z6" s="175"/>
      <c r="AA6" s="175"/>
      <c r="AJ6" s="70" t="s">
        <v>298</v>
      </c>
      <c r="AK6" s="71"/>
      <c r="AL6" s="190" t="s">
        <v>25</v>
      </c>
      <c r="AM6" s="177"/>
      <c r="AN6" s="190">
        <v>0</v>
      </c>
      <c r="AO6" s="177"/>
      <c r="AP6" s="69">
        <v>1500</v>
      </c>
      <c r="AQ6" s="71"/>
      <c r="AR6" s="196" t="s">
        <v>294</v>
      </c>
      <c r="AS6" s="196"/>
      <c r="AT6" s="196"/>
      <c r="AU6" s="196"/>
      <c r="AV6" s="196"/>
      <c r="AW6" s="69" t="s">
        <v>299</v>
      </c>
      <c r="AX6" s="70"/>
      <c r="AY6" s="71"/>
      <c r="AZ6" s="174" t="s">
        <v>296</v>
      </c>
      <c r="BA6" s="175"/>
      <c r="BB6" s="175"/>
      <c r="BC6" s="175"/>
      <c r="BD6" s="175"/>
      <c r="BE6" s="174" t="s">
        <v>300</v>
      </c>
      <c r="BF6" s="175"/>
      <c r="BG6" s="175"/>
      <c r="BH6" s="175"/>
      <c r="BI6" s="204"/>
      <c r="BJ6" s="50"/>
      <c r="BL6" s="159" t="s">
        <v>301</v>
      </c>
      <c r="BM6" s="180"/>
      <c r="BN6" s="148" t="s">
        <v>25</v>
      </c>
      <c r="BO6" s="150"/>
      <c r="BP6" s="148">
        <v>0</v>
      </c>
      <c r="BQ6" s="150"/>
      <c r="BR6" s="148">
        <v>1600</v>
      </c>
      <c r="BS6" s="150"/>
      <c r="BT6" s="162" t="s">
        <v>302</v>
      </c>
      <c r="BU6" s="162"/>
      <c r="BV6" s="162"/>
      <c r="BW6" s="162"/>
      <c r="BX6" s="181"/>
      <c r="BY6" s="182" t="s">
        <v>303</v>
      </c>
      <c r="BZ6" s="149"/>
      <c r="CA6" s="150"/>
      <c r="CB6" s="174" t="s">
        <v>296</v>
      </c>
      <c r="CC6" s="175"/>
      <c r="CD6" s="175"/>
      <c r="CE6" s="175"/>
      <c r="CF6" s="175"/>
      <c r="CG6" s="174" t="s">
        <v>297</v>
      </c>
      <c r="CH6" s="175"/>
      <c r="CI6" s="175"/>
      <c r="CJ6" s="175"/>
      <c r="CK6" s="175"/>
      <c r="CO6" s="159" t="s">
        <v>304</v>
      </c>
      <c r="CP6" s="180"/>
      <c r="CQ6" s="148" t="s">
        <v>25</v>
      </c>
      <c r="CR6" s="150"/>
      <c r="CS6" s="148">
        <v>0</v>
      </c>
      <c r="CT6" s="150"/>
      <c r="CU6" s="148">
        <v>1700</v>
      </c>
      <c r="CV6" s="150"/>
      <c r="CW6" s="162" t="s">
        <v>302</v>
      </c>
      <c r="CX6" s="162"/>
      <c r="CY6" s="162"/>
      <c r="CZ6" s="162"/>
      <c r="DA6" s="181"/>
      <c r="DB6" s="182" t="s">
        <v>305</v>
      </c>
      <c r="DC6" s="149"/>
      <c r="DD6" s="150"/>
      <c r="DE6" s="174" t="s">
        <v>296</v>
      </c>
      <c r="DF6" s="175"/>
      <c r="DG6" s="175"/>
      <c r="DH6" s="175"/>
      <c r="DI6" s="175"/>
      <c r="DJ6" s="174" t="s">
        <v>297</v>
      </c>
      <c r="DK6" s="175"/>
      <c r="DL6" s="175"/>
      <c r="DM6" s="175"/>
      <c r="DN6" s="175"/>
      <c r="DQ6" s="159" t="s">
        <v>306</v>
      </c>
      <c r="DR6" s="180"/>
      <c r="DS6" s="148" t="s">
        <v>25</v>
      </c>
      <c r="DT6" s="150"/>
      <c r="DU6" s="148">
        <v>0</v>
      </c>
      <c r="DV6" s="150"/>
      <c r="DW6" s="148">
        <v>1800</v>
      </c>
      <c r="DX6" s="150"/>
      <c r="DY6" s="162" t="s">
        <v>302</v>
      </c>
      <c r="DZ6" s="162"/>
      <c r="EA6" s="162"/>
      <c r="EB6" s="162"/>
      <c r="EC6" s="181"/>
      <c r="ED6" s="182" t="s">
        <v>307</v>
      </c>
      <c r="EE6" s="149"/>
      <c r="EF6" s="150"/>
      <c r="EG6" s="174" t="s">
        <v>296</v>
      </c>
      <c r="EH6" s="175"/>
      <c r="EI6" s="175"/>
      <c r="EJ6" s="175"/>
      <c r="EK6" s="175"/>
      <c r="EL6" s="174" t="s">
        <v>297</v>
      </c>
      <c r="EM6" s="175"/>
      <c r="EN6" s="175"/>
      <c r="EO6" s="175"/>
      <c r="EP6" s="175"/>
      <c r="ES6" s="159" t="s">
        <v>308</v>
      </c>
      <c r="ET6" s="180"/>
      <c r="EU6" s="148" t="s">
        <v>25</v>
      </c>
      <c r="EV6" s="150"/>
      <c r="EW6" s="148">
        <v>0</v>
      </c>
      <c r="EX6" s="150"/>
      <c r="EY6" s="205">
        <v>1900</v>
      </c>
      <c r="EZ6" s="206"/>
      <c r="FA6" s="207" t="s">
        <v>309</v>
      </c>
      <c r="FB6" s="207"/>
      <c r="FC6" s="207"/>
      <c r="FD6" s="207"/>
      <c r="FE6" s="208"/>
      <c r="FF6" s="182" t="s">
        <v>308</v>
      </c>
      <c r="FG6" s="149"/>
      <c r="FH6" s="150"/>
      <c r="FI6" s="174" t="s">
        <v>310</v>
      </c>
      <c r="FJ6" s="175"/>
      <c r="FK6" s="175"/>
      <c r="FL6" s="175"/>
      <c r="FM6" s="175"/>
      <c r="FN6" s="174" t="s">
        <v>297</v>
      </c>
      <c r="FO6" s="175"/>
      <c r="FP6" s="175"/>
      <c r="FQ6" s="175"/>
      <c r="FR6" s="175"/>
    </row>
    <row r="7" spans="2:183" ht="14.45" customHeight="1">
      <c r="B7" s="70" t="s">
        <v>293</v>
      </c>
      <c r="C7" s="71"/>
      <c r="D7" s="69" t="s">
        <v>25</v>
      </c>
      <c r="E7" s="71"/>
      <c r="F7" s="69">
        <v>1</v>
      </c>
      <c r="G7" s="71"/>
      <c r="H7" s="69">
        <v>1401</v>
      </c>
      <c r="I7" s="71"/>
      <c r="J7" s="74" t="s">
        <v>311</v>
      </c>
      <c r="K7" s="74"/>
      <c r="L7" s="74"/>
      <c r="M7" s="74"/>
      <c r="N7" s="74"/>
      <c r="O7" s="69" t="s">
        <v>295</v>
      </c>
      <c r="P7" s="70"/>
      <c r="Q7" s="71"/>
      <c r="R7" s="145" t="s">
        <v>296</v>
      </c>
      <c r="S7" s="146"/>
      <c r="T7" s="146"/>
      <c r="U7" s="146"/>
      <c r="V7" s="147"/>
      <c r="W7" s="145" t="s">
        <v>297</v>
      </c>
      <c r="X7" s="146"/>
      <c r="Y7" s="146"/>
      <c r="Z7" s="146"/>
      <c r="AA7" s="146"/>
      <c r="AJ7" s="70" t="s">
        <v>298</v>
      </c>
      <c r="AK7" s="71"/>
      <c r="AL7" s="69" t="s">
        <v>25</v>
      </c>
      <c r="AM7" s="71"/>
      <c r="AN7" s="69">
        <v>1</v>
      </c>
      <c r="AO7" s="71"/>
      <c r="AP7" s="69">
        <v>1501</v>
      </c>
      <c r="AQ7" s="71"/>
      <c r="AR7" s="74" t="s">
        <v>311</v>
      </c>
      <c r="AS7" s="74"/>
      <c r="AT7" s="74"/>
      <c r="AU7" s="74"/>
      <c r="AV7" s="74"/>
      <c r="AW7" s="69" t="s">
        <v>299</v>
      </c>
      <c r="AX7" s="70"/>
      <c r="AY7" s="71"/>
      <c r="AZ7" s="145" t="s">
        <v>296</v>
      </c>
      <c r="BA7" s="146"/>
      <c r="BB7" s="146"/>
      <c r="BC7" s="146"/>
      <c r="BD7" s="147"/>
      <c r="BE7" s="145" t="s">
        <v>300</v>
      </c>
      <c r="BF7" s="146"/>
      <c r="BG7" s="146"/>
      <c r="BH7" s="146"/>
      <c r="BI7" s="147"/>
      <c r="BJ7" s="50"/>
      <c r="BL7" s="146" t="s">
        <v>301</v>
      </c>
      <c r="BM7" s="161"/>
      <c r="BN7" s="69" t="s">
        <v>25</v>
      </c>
      <c r="BO7" s="71"/>
      <c r="BP7" s="69">
        <v>1</v>
      </c>
      <c r="BQ7" s="71"/>
      <c r="BR7" s="191">
        <v>1601</v>
      </c>
      <c r="BS7" s="192"/>
      <c r="BT7" s="74" t="s">
        <v>311</v>
      </c>
      <c r="BU7" s="74"/>
      <c r="BV7" s="74"/>
      <c r="BW7" s="74"/>
      <c r="BX7" s="66"/>
      <c r="BY7" s="193" t="s">
        <v>303</v>
      </c>
      <c r="BZ7" s="70"/>
      <c r="CA7" s="71"/>
      <c r="CB7" s="145" t="s">
        <v>296</v>
      </c>
      <c r="CC7" s="146"/>
      <c r="CD7" s="146"/>
      <c r="CE7" s="146"/>
      <c r="CF7" s="146"/>
      <c r="CG7" s="145" t="s">
        <v>297</v>
      </c>
      <c r="CH7" s="146"/>
      <c r="CI7" s="146"/>
      <c r="CJ7" s="146"/>
      <c r="CK7" s="146"/>
      <c r="CO7" s="146" t="s">
        <v>304</v>
      </c>
      <c r="CP7" s="161"/>
      <c r="CQ7" s="69" t="s">
        <v>25</v>
      </c>
      <c r="CR7" s="71"/>
      <c r="CS7" s="69">
        <v>1</v>
      </c>
      <c r="CT7" s="71"/>
      <c r="CU7" s="191">
        <v>1701</v>
      </c>
      <c r="CV7" s="192"/>
      <c r="CW7" s="74" t="s">
        <v>311</v>
      </c>
      <c r="CX7" s="74"/>
      <c r="CY7" s="74"/>
      <c r="CZ7" s="74"/>
      <c r="DA7" s="66"/>
      <c r="DB7" s="193" t="s">
        <v>305</v>
      </c>
      <c r="DC7" s="70"/>
      <c r="DD7" s="71"/>
      <c r="DE7" s="145" t="s">
        <v>296</v>
      </c>
      <c r="DF7" s="146"/>
      <c r="DG7" s="146"/>
      <c r="DH7" s="146"/>
      <c r="DI7" s="146"/>
      <c r="DJ7" s="145" t="s">
        <v>297</v>
      </c>
      <c r="DK7" s="146"/>
      <c r="DL7" s="146"/>
      <c r="DM7" s="146"/>
      <c r="DN7" s="146"/>
      <c r="DQ7" s="146" t="s">
        <v>306</v>
      </c>
      <c r="DR7" s="161"/>
      <c r="DS7" s="69" t="s">
        <v>25</v>
      </c>
      <c r="DT7" s="71"/>
      <c r="DU7" s="69">
        <v>1</v>
      </c>
      <c r="DV7" s="71"/>
      <c r="DW7" s="191">
        <v>1801</v>
      </c>
      <c r="DX7" s="192"/>
      <c r="DY7" s="74" t="s">
        <v>311</v>
      </c>
      <c r="DZ7" s="74"/>
      <c r="EA7" s="74"/>
      <c r="EB7" s="74"/>
      <c r="EC7" s="66"/>
      <c r="ED7" s="193" t="s">
        <v>307</v>
      </c>
      <c r="EE7" s="70"/>
      <c r="EF7" s="71"/>
      <c r="EG7" s="145" t="s">
        <v>296</v>
      </c>
      <c r="EH7" s="146"/>
      <c r="EI7" s="146"/>
      <c r="EJ7" s="146"/>
      <c r="EK7" s="146"/>
      <c r="EL7" s="145" t="s">
        <v>297</v>
      </c>
      <c r="EM7" s="146"/>
      <c r="EN7" s="146"/>
      <c r="EO7" s="146"/>
      <c r="EP7" s="146"/>
      <c r="ES7" s="146" t="s">
        <v>308</v>
      </c>
      <c r="ET7" s="161"/>
      <c r="EU7" s="69" t="s">
        <v>25</v>
      </c>
      <c r="EV7" s="71"/>
      <c r="EW7" s="69">
        <v>1</v>
      </c>
      <c r="EX7" s="71"/>
      <c r="EY7" s="209">
        <v>1901</v>
      </c>
      <c r="EZ7" s="210"/>
      <c r="FA7" s="215" t="s">
        <v>314</v>
      </c>
      <c r="FB7" s="215"/>
      <c r="FC7" s="215"/>
      <c r="FD7" s="215"/>
      <c r="FE7" s="216"/>
      <c r="FF7" s="193" t="s">
        <v>308</v>
      </c>
      <c r="FG7" s="70"/>
      <c r="FH7" s="71"/>
      <c r="FI7" s="145" t="s">
        <v>310</v>
      </c>
      <c r="FJ7" s="146"/>
      <c r="FK7" s="146"/>
      <c r="FL7" s="146"/>
      <c r="FM7" s="146"/>
      <c r="FN7" s="145" t="s">
        <v>297</v>
      </c>
      <c r="FO7" s="146"/>
      <c r="FP7" s="146"/>
      <c r="FQ7" s="146"/>
      <c r="FR7" s="146"/>
    </row>
    <row r="8" spans="2:183">
      <c r="B8" s="70" t="s">
        <v>293</v>
      </c>
      <c r="C8" s="71"/>
      <c r="D8" s="69" t="s">
        <v>25</v>
      </c>
      <c r="E8" s="71"/>
      <c r="F8" s="69">
        <v>2</v>
      </c>
      <c r="G8" s="71"/>
      <c r="H8" s="69">
        <v>1402</v>
      </c>
      <c r="I8" s="71"/>
      <c r="J8" s="74" t="s">
        <v>313</v>
      </c>
      <c r="K8" s="74"/>
      <c r="L8" s="74"/>
      <c r="M8" s="74"/>
      <c r="N8" s="74"/>
      <c r="O8" s="69" t="s">
        <v>295</v>
      </c>
      <c r="P8" s="70"/>
      <c r="Q8" s="71"/>
      <c r="R8" s="145" t="s">
        <v>296</v>
      </c>
      <c r="S8" s="146"/>
      <c r="T8" s="146"/>
      <c r="U8" s="146"/>
      <c r="V8" s="147"/>
      <c r="W8" s="145" t="s">
        <v>297</v>
      </c>
      <c r="X8" s="146"/>
      <c r="Y8" s="146"/>
      <c r="Z8" s="146"/>
      <c r="AA8" s="146"/>
      <c r="AJ8" s="70" t="s">
        <v>298</v>
      </c>
      <c r="AK8" s="71"/>
      <c r="AL8" s="69" t="s">
        <v>25</v>
      </c>
      <c r="AM8" s="71"/>
      <c r="AN8" s="69">
        <v>2</v>
      </c>
      <c r="AO8" s="71"/>
      <c r="AP8" s="69">
        <v>1502</v>
      </c>
      <c r="AQ8" s="71"/>
      <c r="AR8" s="74" t="s">
        <v>313</v>
      </c>
      <c r="AS8" s="74"/>
      <c r="AT8" s="74"/>
      <c r="AU8" s="74"/>
      <c r="AV8" s="74"/>
      <c r="AW8" s="69" t="s">
        <v>299</v>
      </c>
      <c r="AX8" s="70"/>
      <c r="AY8" s="71"/>
      <c r="AZ8" s="145" t="s">
        <v>296</v>
      </c>
      <c r="BA8" s="146"/>
      <c r="BB8" s="146"/>
      <c r="BC8" s="146"/>
      <c r="BD8" s="147"/>
      <c r="BE8" s="145" t="s">
        <v>300</v>
      </c>
      <c r="BF8" s="146"/>
      <c r="BG8" s="146"/>
      <c r="BH8" s="146"/>
      <c r="BI8" s="147"/>
      <c r="BJ8" s="50"/>
      <c r="BL8" s="146" t="s">
        <v>301</v>
      </c>
      <c r="BM8" s="161"/>
      <c r="BN8" s="69" t="s">
        <v>25</v>
      </c>
      <c r="BO8" s="71"/>
      <c r="BP8" s="69">
        <v>2</v>
      </c>
      <c r="BQ8" s="71"/>
      <c r="BR8" s="191">
        <v>1602</v>
      </c>
      <c r="BS8" s="192"/>
      <c r="BT8" s="74" t="s">
        <v>313</v>
      </c>
      <c r="BU8" s="74"/>
      <c r="BV8" s="74"/>
      <c r="BW8" s="74"/>
      <c r="BX8" s="66"/>
      <c r="BY8" s="193" t="s">
        <v>303</v>
      </c>
      <c r="BZ8" s="70"/>
      <c r="CA8" s="71"/>
      <c r="CB8" s="145" t="s">
        <v>296</v>
      </c>
      <c r="CC8" s="146"/>
      <c r="CD8" s="146"/>
      <c r="CE8" s="146"/>
      <c r="CF8" s="146"/>
      <c r="CG8" s="145" t="s">
        <v>297</v>
      </c>
      <c r="CH8" s="146"/>
      <c r="CI8" s="146"/>
      <c r="CJ8" s="146"/>
      <c r="CK8" s="146"/>
      <c r="CO8" s="146" t="s">
        <v>304</v>
      </c>
      <c r="CP8" s="161"/>
      <c r="CQ8" s="69" t="s">
        <v>25</v>
      </c>
      <c r="CR8" s="71"/>
      <c r="CS8" s="69">
        <v>2</v>
      </c>
      <c r="CT8" s="71"/>
      <c r="CU8" s="191">
        <v>1702</v>
      </c>
      <c r="CV8" s="192"/>
      <c r="CW8" s="74" t="s">
        <v>313</v>
      </c>
      <c r="CX8" s="74"/>
      <c r="CY8" s="74"/>
      <c r="CZ8" s="74"/>
      <c r="DA8" s="66"/>
      <c r="DB8" s="193" t="s">
        <v>305</v>
      </c>
      <c r="DC8" s="70"/>
      <c r="DD8" s="71"/>
      <c r="DE8" s="145" t="s">
        <v>296</v>
      </c>
      <c r="DF8" s="146"/>
      <c r="DG8" s="146"/>
      <c r="DH8" s="146"/>
      <c r="DI8" s="146"/>
      <c r="DJ8" s="145" t="s">
        <v>297</v>
      </c>
      <c r="DK8" s="146"/>
      <c r="DL8" s="146"/>
      <c r="DM8" s="146"/>
      <c r="DN8" s="146"/>
      <c r="DQ8" s="146" t="s">
        <v>306</v>
      </c>
      <c r="DR8" s="161"/>
      <c r="DS8" s="69" t="s">
        <v>25</v>
      </c>
      <c r="DT8" s="71"/>
      <c r="DU8" s="69">
        <v>2</v>
      </c>
      <c r="DV8" s="71"/>
      <c r="DW8" s="191">
        <v>1802</v>
      </c>
      <c r="DX8" s="192"/>
      <c r="DY8" s="74" t="s">
        <v>313</v>
      </c>
      <c r="DZ8" s="74"/>
      <c r="EA8" s="74"/>
      <c r="EB8" s="74"/>
      <c r="EC8" s="66"/>
      <c r="ED8" s="193" t="s">
        <v>307</v>
      </c>
      <c r="EE8" s="70"/>
      <c r="EF8" s="71"/>
      <c r="EG8" s="145" t="s">
        <v>296</v>
      </c>
      <c r="EH8" s="146"/>
      <c r="EI8" s="146"/>
      <c r="EJ8" s="146"/>
      <c r="EK8" s="146"/>
      <c r="EL8" s="145" t="s">
        <v>297</v>
      </c>
      <c r="EM8" s="146"/>
      <c r="EN8" s="146"/>
      <c r="EO8" s="146"/>
      <c r="EP8" s="146"/>
      <c r="ES8" s="164" t="s">
        <v>308</v>
      </c>
      <c r="ET8" s="178"/>
      <c r="EU8" s="88" t="s">
        <v>25</v>
      </c>
      <c r="EV8" s="90"/>
      <c r="EW8" s="88">
        <v>2</v>
      </c>
      <c r="EX8" s="90"/>
      <c r="EY8" s="213">
        <v>1902</v>
      </c>
      <c r="EZ8" s="214"/>
      <c r="FA8" s="222" t="s">
        <v>404</v>
      </c>
      <c r="FB8" s="223"/>
      <c r="FC8" s="223"/>
      <c r="FD8" s="223"/>
      <c r="FE8" s="224"/>
      <c r="FF8" s="184" t="s">
        <v>308</v>
      </c>
      <c r="FG8" s="89"/>
      <c r="FH8" s="90"/>
      <c r="FI8" s="142" t="s">
        <v>310</v>
      </c>
      <c r="FJ8" s="143"/>
      <c r="FK8" s="143"/>
      <c r="FL8" s="143"/>
      <c r="FM8" s="143"/>
      <c r="FN8" s="142" t="s">
        <v>297</v>
      </c>
      <c r="FO8" s="143"/>
      <c r="FP8" s="143"/>
      <c r="FQ8" s="143"/>
      <c r="FR8" s="143"/>
    </row>
    <row r="9" spans="2:183">
      <c r="B9" s="89" t="s">
        <v>293</v>
      </c>
      <c r="C9" s="90"/>
      <c r="D9" s="88" t="s">
        <v>25</v>
      </c>
      <c r="E9" s="90"/>
      <c r="F9" s="88">
        <v>3</v>
      </c>
      <c r="G9" s="90"/>
      <c r="H9" s="88">
        <v>1403</v>
      </c>
      <c r="I9" s="90"/>
      <c r="J9" s="151" t="s">
        <v>315</v>
      </c>
      <c r="K9" s="151"/>
      <c r="L9" s="151"/>
      <c r="M9" s="151"/>
      <c r="N9" s="151"/>
      <c r="O9" s="163" t="s">
        <v>295</v>
      </c>
      <c r="P9" s="164"/>
      <c r="Q9" s="178"/>
      <c r="R9" s="142" t="s">
        <v>296</v>
      </c>
      <c r="S9" s="143"/>
      <c r="T9" s="143"/>
      <c r="U9" s="143"/>
      <c r="V9" s="144"/>
      <c r="W9" s="142" t="s">
        <v>297</v>
      </c>
      <c r="X9" s="143"/>
      <c r="Y9" s="143"/>
      <c r="Z9" s="143"/>
      <c r="AA9" s="143"/>
      <c r="AJ9" s="89" t="s">
        <v>298</v>
      </c>
      <c r="AK9" s="90"/>
      <c r="AL9" s="88" t="s">
        <v>25</v>
      </c>
      <c r="AM9" s="90"/>
      <c r="AN9" s="88">
        <v>3</v>
      </c>
      <c r="AO9" s="90"/>
      <c r="AP9" s="88">
        <v>1503</v>
      </c>
      <c r="AQ9" s="90"/>
      <c r="AR9" s="151" t="s">
        <v>315</v>
      </c>
      <c r="AS9" s="151"/>
      <c r="AT9" s="151"/>
      <c r="AU9" s="151"/>
      <c r="AV9" s="151"/>
      <c r="AW9" s="88" t="s">
        <v>299</v>
      </c>
      <c r="AX9" s="89"/>
      <c r="AY9" s="90"/>
      <c r="AZ9" s="142" t="s">
        <v>296</v>
      </c>
      <c r="BA9" s="143"/>
      <c r="BB9" s="143"/>
      <c r="BC9" s="143"/>
      <c r="BD9" s="144"/>
      <c r="BE9" s="142" t="s">
        <v>300</v>
      </c>
      <c r="BF9" s="143"/>
      <c r="BG9" s="143"/>
      <c r="BH9" s="143"/>
      <c r="BI9" s="144"/>
      <c r="BJ9" s="50"/>
      <c r="BL9" s="143" t="s">
        <v>301</v>
      </c>
      <c r="BM9" s="195"/>
      <c r="BN9" s="88" t="s">
        <v>25</v>
      </c>
      <c r="BO9" s="90"/>
      <c r="BP9" s="88">
        <v>3</v>
      </c>
      <c r="BQ9" s="90"/>
      <c r="BR9" s="88">
        <v>1603</v>
      </c>
      <c r="BS9" s="90"/>
      <c r="BT9" s="151" t="s">
        <v>315</v>
      </c>
      <c r="BU9" s="151"/>
      <c r="BV9" s="151"/>
      <c r="BW9" s="151"/>
      <c r="BX9" s="183"/>
      <c r="BY9" s="184" t="s">
        <v>303</v>
      </c>
      <c r="BZ9" s="89"/>
      <c r="CA9" s="90"/>
      <c r="CB9" s="142" t="s">
        <v>296</v>
      </c>
      <c r="CC9" s="143"/>
      <c r="CD9" s="143"/>
      <c r="CE9" s="143"/>
      <c r="CF9" s="143"/>
      <c r="CG9" s="142" t="s">
        <v>297</v>
      </c>
      <c r="CH9" s="143"/>
      <c r="CI9" s="143"/>
      <c r="CJ9" s="143"/>
      <c r="CK9" s="143"/>
      <c r="CO9" s="146" t="s">
        <v>304</v>
      </c>
      <c r="CP9" s="161"/>
      <c r="CQ9" s="88" t="s">
        <v>25</v>
      </c>
      <c r="CR9" s="90"/>
      <c r="CS9" s="88">
        <v>3</v>
      </c>
      <c r="CT9" s="90"/>
      <c r="CU9" s="88">
        <v>1703</v>
      </c>
      <c r="CV9" s="90"/>
      <c r="CW9" s="151" t="s">
        <v>315</v>
      </c>
      <c r="CX9" s="151"/>
      <c r="CY9" s="151"/>
      <c r="CZ9" s="151"/>
      <c r="DA9" s="183"/>
      <c r="DB9" s="184" t="s">
        <v>305</v>
      </c>
      <c r="DC9" s="89"/>
      <c r="DD9" s="90"/>
      <c r="DE9" s="142" t="s">
        <v>296</v>
      </c>
      <c r="DF9" s="143"/>
      <c r="DG9" s="143"/>
      <c r="DH9" s="143"/>
      <c r="DI9" s="143"/>
      <c r="DJ9" s="142" t="s">
        <v>297</v>
      </c>
      <c r="DK9" s="143"/>
      <c r="DL9" s="143"/>
      <c r="DM9" s="143"/>
      <c r="DN9" s="143"/>
      <c r="DQ9" s="146" t="s">
        <v>306</v>
      </c>
      <c r="DR9" s="161"/>
      <c r="DS9" s="88" t="s">
        <v>25</v>
      </c>
      <c r="DT9" s="90"/>
      <c r="DU9" s="88">
        <v>3</v>
      </c>
      <c r="DV9" s="90"/>
      <c r="DW9" s="88">
        <v>1803</v>
      </c>
      <c r="DX9" s="90"/>
      <c r="DY9" s="151" t="s">
        <v>315</v>
      </c>
      <c r="DZ9" s="151"/>
      <c r="EA9" s="151"/>
      <c r="EB9" s="151"/>
      <c r="EC9" s="183"/>
      <c r="ED9" s="184" t="s">
        <v>307</v>
      </c>
      <c r="EE9" s="89"/>
      <c r="EF9" s="90"/>
      <c r="EG9" s="142" t="s">
        <v>296</v>
      </c>
      <c r="EH9" s="143"/>
      <c r="EI9" s="143"/>
      <c r="EJ9" s="143"/>
      <c r="EK9" s="143"/>
      <c r="EL9" s="142" t="s">
        <v>297</v>
      </c>
      <c r="EM9" s="143"/>
      <c r="EN9" s="143"/>
      <c r="EO9" s="143"/>
      <c r="EP9" s="143"/>
      <c r="ES9" s="217" t="s">
        <v>308</v>
      </c>
      <c r="ET9" s="218"/>
      <c r="EU9" s="219" t="s">
        <v>25</v>
      </c>
      <c r="EV9" s="218"/>
      <c r="EW9" s="219">
        <v>3</v>
      </c>
      <c r="EX9" s="218"/>
      <c r="EY9" s="220">
        <v>1903</v>
      </c>
      <c r="EZ9" s="221"/>
      <c r="FA9" s="211" t="s">
        <v>312</v>
      </c>
      <c r="FB9" s="211"/>
      <c r="FC9" s="211"/>
      <c r="FD9" s="211"/>
      <c r="FE9" s="212"/>
      <c r="FF9" s="225" t="s">
        <v>317</v>
      </c>
      <c r="FG9" s="217"/>
      <c r="FH9" s="218"/>
      <c r="FI9" s="219" t="s">
        <v>310</v>
      </c>
      <c r="FJ9" s="217"/>
      <c r="FK9" s="217"/>
      <c r="FL9" s="217"/>
      <c r="FM9" s="217"/>
      <c r="FN9" s="219" t="s">
        <v>297</v>
      </c>
      <c r="FO9" s="217"/>
      <c r="FP9" s="217"/>
      <c r="FQ9" s="217"/>
      <c r="FR9" s="217"/>
    </row>
    <row r="10" spans="2:183">
      <c r="B10" s="149" t="s">
        <v>293</v>
      </c>
      <c r="C10" s="150"/>
      <c r="D10" s="148" t="s">
        <v>25</v>
      </c>
      <c r="E10" s="150"/>
      <c r="F10" s="148">
        <v>4</v>
      </c>
      <c r="G10" s="150"/>
      <c r="H10" s="148">
        <v>1404</v>
      </c>
      <c r="I10" s="150"/>
      <c r="J10" s="162" t="s">
        <v>294</v>
      </c>
      <c r="K10" s="162"/>
      <c r="L10" s="162"/>
      <c r="M10" s="162"/>
      <c r="N10" s="162"/>
      <c r="O10" s="148" t="s">
        <v>318</v>
      </c>
      <c r="P10" s="149"/>
      <c r="Q10" s="150"/>
      <c r="R10" s="158" t="s">
        <v>296</v>
      </c>
      <c r="S10" s="159"/>
      <c r="T10" s="159"/>
      <c r="U10" s="159"/>
      <c r="V10" s="160"/>
      <c r="W10" s="158" t="s">
        <v>297</v>
      </c>
      <c r="X10" s="159"/>
      <c r="Y10" s="159"/>
      <c r="Z10" s="159"/>
      <c r="AA10" s="159"/>
      <c r="AJ10" s="149" t="s">
        <v>298</v>
      </c>
      <c r="AK10" s="150"/>
      <c r="AL10" s="148" t="s">
        <v>25</v>
      </c>
      <c r="AM10" s="150"/>
      <c r="AN10" s="148">
        <v>4</v>
      </c>
      <c r="AO10" s="150"/>
      <c r="AP10" s="148">
        <v>1504</v>
      </c>
      <c r="AQ10" s="150"/>
      <c r="AR10" s="162" t="s">
        <v>294</v>
      </c>
      <c r="AS10" s="162"/>
      <c r="AT10" s="162"/>
      <c r="AU10" s="162"/>
      <c r="AV10" s="162"/>
      <c r="AW10" s="148" t="s">
        <v>319</v>
      </c>
      <c r="AX10" s="149"/>
      <c r="AY10" s="150"/>
      <c r="AZ10" s="158" t="s">
        <v>296</v>
      </c>
      <c r="BA10" s="159"/>
      <c r="BB10" s="159"/>
      <c r="BC10" s="159"/>
      <c r="BD10" s="159"/>
      <c r="BE10" s="158" t="s">
        <v>300</v>
      </c>
      <c r="BF10" s="159"/>
      <c r="BG10" s="159"/>
      <c r="BH10" s="159"/>
      <c r="BI10" s="160"/>
      <c r="BJ10" s="50"/>
      <c r="BL10" s="122" t="s">
        <v>301</v>
      </c>
      <c r="BM10" s="185"/>
      <c r="BN10" s="190" t="s">
        <v>25</v>
      </c>
      <c r="BO10" s="177"/>
      <c r="BP10" s="190">
        <v>4</v>
      </c>
      <c r="BQ10" s="177"/>
      <c r="BR10" s="168">
        <v>1604</v>
      </c>
      <c r="BS10" s="185"/>
      <c r="BT10" s="186" t="s">
        <v>302</v>
      </c>
      <c r="BU10" s="187"/>
      <c r="BV10" s="187"/>
      <c r="BW10" s="187"/>
      <c r="BX10" s="188"/>
      <c r="BY10" s="189" t="s">
        <v>320</v>
      </c>
      <c r="BZ10" s="127"/>
      <c r="CA10" s="177"/>
      <c r="CB10" s="168" t="s">
        <v>296</v>
      </c>
      <c r="CC10" s="122"/>
      <c r="CD10" s="122"/>
      <c r="CE10" s="122"/>
      <c r="CF10" s="122"/>
      <c r="CG10" s="168" t="s">
        <v>297</v>
      </c>
      <c r="CH10" s="122"/>
      <c r="CI10" s="122"/>
      <c r="CJ10" s="122"/>
      <c r="CK10" s="122"/>
      <c r="CO10" s="146" t="s">
        <v>304</v>
      </c>
      <c r="CP10" s="161"/>
      <c r="CQ10" s="190" t="s">
        <v>25</v>
      </c>
      <c r="CR10" s="177"/>
      <c r="CS10" s="190">
        <v>4</v>
      </c>
      <c r="CT10" s="177"/>
      <c r="CU10" s="168">
        <v>1704</v>
      </c>
      <c r="CV10" s="185"/>
      <c r="CW10" s="186" t="s">
        <v>302</v>
      </c>
      <c r="CX10" s="187"/>
      <c r="CY10" s="187"/>
      <c r="CZ10" s="187"/>
      <c r="DA10" s="188"/>
      <c r="DB10" s="189" t="s">
        <v>321</v>
      </c>
      <c r="DC10" s="127"/>
      <c r="DD10" s="177"/>
      <c r="DE10" s="168" t="s">
        <v>296</v>
      </c>
      <c r="DF10" s="122"/>
      <c r="DG10" s="122"/>
      <c r="DH10" s="122"/>
      <c r="DI10" s="122"/>
      <c r="DJ10" s="168" t="s">
        <v>297</v>
      </c>
      <c r="DK10" s="122"/>
      <c r="DL10" s="122"/>
      <c r="DM10" s="122"/>
      <c r="DN10" s="122"/>
      <c r="DQ10" s="146" t="s">
        <v>306</v>
      </c>
      <c r="DR10" s="161"/>
      <c r="DS10" s="190" t="s">
        <v>25</v>
      </c>
      <c r="DT10" s="177"/>
      <c r="DU10" s="190">
        <v>4</v>
      </c>
      <c r="DV10" s="177"/>
      <c r="DW10" s="168">
        <v>1804</v>
      </c>
      <c r="DX10" s="185"/>
      <c r="DY10" s="186" t="s">
        <v>302</v>
      </c>
      <c r="DZ10" s="187"/>
      <c r="EA10" s="187"/>
      <c r="EB10" s="187"/>
      <c r="EC10" s="188"/>
      <c r="ED10" s="189" t="s">
        <v>322</v>
      </c>
      <c r="EE10" s="127"/>
      <c r="EF10" s="177"/>
      <c r="EG10" s="168" t="s">
        <v>296</v>
      </c>
      <c r="EH10" s="122"/>
      <c r="EI10" s="122"/>
      <c r="EJ10" s="122"/>
      <c r="EK10" s="122"/>
      <c r="EL10" s="168" t="s">
        <v>297</v>
      </c>
      <c r="EM10" s="122"/>
      <c r="EN10" s="122"/>
      <c r="EO10" s="122"/>
      <c r="EP10" s="122"/>
      <c r="ES10" s="122" t="s">
        <v>308</v>
      </c>
      <c r="ET10" s="185"/>
      <c r="EU10" s="190" t="s">
        <v>25</v>
      </c>
      <c r="EV10" s="177"/>
      <c r="EW10" s="190">
        <v>4</v>
      </c>
      <c r="EX10" s="177"/>
      <c r="EY10" s="226">
        <v>1904</v>
      </c>
      <c r="EZ10" s="227"/>
      <c r="FA10" s="228" t="s">
        <v>316</v>
      </c>
      <c r="FB10" s="228"/>
      <c r="FC10" s="228"/>
      <c r="FD10" s="228"/>
      <c r="FE10" s="229"/>
      <c r="FF10" s="189" t="s">
        <v>317</v>
      </c>
      <c r="FG10" s="127"/>
      <c r="FH10" s="177"/>
      <c r="FI10" s="168" t="s">
        <v>310</v>
      </c>
      <c r="FJ10" s="122"/>
      <c r="FK10" s="122"/>
      <c r="FL10" s="122"/>
      <c r="FM10" s="122"/>
      <c r="FN10" s="168" t="s">
        <v>297</v>
      </c>
      <c r="FO10" s="122"/>
      <c r="FP10" s="122"/>
      <c r="FQ10" s="122"/>
      <c r="FR10" s="122"/>
    </row>
    <row r="11" spans="2:183">
      <c r="B11" s="70" t="s">
        <v>293</v>
      </c>
      <c r="C11" s="71"/>
      <c r="D11" s="69" t="s">
        <v>25</v>
      </c>
      <c r="E11" s="71"/>
      <c r="F11" s="69">
        <v>5</v>
      </c>
      <c r="G11" s="71"/>
      <c r="H11" s="69">
        <v>1405</v>
      </c>
      <c r="I11" s="71"/>
      <c r="J11" s="74" t="s">
        <v>311</v>
      </c>
      <c r="K11" s="74"/>
      <c r="L11" s="74"/>
      <c r="M11" s="74"/>
      <c r="N11" s="74"/>
      <c r="O11" s="69" t="s">
        <v>318</v>
      </c>
      <c r="P11" s="70"/>
      <c r="Q11" s="71"/>
      <c r="R11" s="145" t="s">
        <v>296</v>
      </c>
      <c r="S11" s="146"/>
      <c r="T11" s="146"/>
      <c r="U11" s="146"/>
      <c r="V11" s="147"/>
      <c r="W11" s="145" t="s">
        <v>297</v>
      </c>
      <c r="X11" s="146"/>
      <c r="Y11" s="146"/>
      <c r="Z11" s="146"/>
      <c r="AA11" s="146"/>
      <c r="AJ11" s="70" t="s">
        <v>298</v>
      </c>
      <c r="AK11" s="71"/>
      <c r="AL11" s="69" t="s">
        <v>25</v>
      </c>
      <c r="AM11" s="71"/>
      <c r="AN11" s="69">
        <v>5</v>
      </c>
      <c r="AO11" s="71"/>
      <c r="AP11" s="69">
        <v>1505</v>
      </c>
      <c r="AQ11" s="71"/>
      <c r="AR11" s="74" t="s">
        <v>311</v>
      </c>
      <c r="AS11" s="74"/>
      <c r="AT11" s="74"/>
      <c r="AU11" s="74"/>
      <c r="AV11" s="74"/>
      <c r="AW11" s="69" t="s">
        <v>319</v>
      </c>
      <c r="AX11" s="70"/>
      <c r="AY11" s="71"/>
      <c r="AZ11" s="145" t="s">
        <v>296</v>
      </c>
      <c r="BA11" s="146"/>
      <c r="BB11" s="146"/>
      <c r="BC11" s="146"/>
      <c r="BD11" s="147"/>
      <c r="BE11" s="145" t="s">
        <v>300</v>
      </c>
      <c r="BF11" s="146"/>
      <c r="BG11" s="146"/>
      <c r="BH11" s="146"/>
      <c r="BI11" s="147"/>
      <c r="BJ11" s="50"/>
      <c r="BL11" s="146" t="s">
        <v>301</v>
      </c>
      <c r="BM11" s="161"/>
      <c r="BN11" s="69" t="s">
        <v>25</v>
      </c>
      <c r="BO11" s="71"/>
      <c r="BP11" s="69">
        <v>5</v>
      </c>
      <c r="BQ11" s="71"/>
      <c r="BR11" s="191">
        <v>1605</v>
      </c>
      <c r="BS11" s="192"/>
      <c r="BT11" s="196" t="s">
        <v>311</v>
      </c>
      <c r="BU11" s="196"/>
      <c r="BV11" s="196"/>
      <c r="BW11" s="196"/>
      <c r="BX11" s="198"/>
      <c r="BY11" s="193" t="s">
        <v>320</v>
      </c>
      <c r="BZ11" s="70"/>
      <c r="CA11" s="71"/>
      <c r="CB11" s="145" t="s">
        <v>296</v>
      </c>
      <c r="CC11" s="146"/>
      <c r="CD11" s="146"/>
      <c r="CE11" s="146"/>
      <c r="CF11" s="146"/>
      <c r="CG11" s="145" t="s">
        <v>297</v>
      </c>
      <c r="CH11" s="146"/>
      <c r="CI11" s="146"/>
      <c r="CJ11" s="146"/>
      <c r="CK11" s="146"/>
      <c r="CO11" s="146" t="s">
        <v>304</v>
      </c>
      <c r="CP11" s="161"/>
      <c r="CQ11" s="69" t="s">
        <v>25</v>
      </c>
      <c r="CR11" s="71"/>
      <c r="CS11" s="69">
        <v>5</v>
      </c>
      <c r="CT11" s="71"/>
      <c r="CU11" s="191">
        <v>1705</v>
      </c>
      <c r="CV11" s="192"/>
      <c r="CW11" s="196" t="s">
        <v>311</v>
      </c>
      <c r="CX11" s="196"/>
      <c r="CY11" s="196"/>
      <c r="CZ11" s="196"/>
      <c r="DA11" s="198"/>
      <c r="DB11" s="193" t="s">
        <v>321</v>
      </c>
      <c r="DC11" s="70"/>
      <c r="DD11" s="71"/>
      <c r="DE11" s="145" t="s">
        <v>296</v>
      </c>
      <c r="DF11" s="146"/>
      <c r="DG11" s="146"/>
      <c r="DH11" s="146"/>
      <c r="DI11" s="146"/>
      <c r="DJ11" s="145" t="s">
        <v>297</v>
      </c>
      <c r="DK11" s="146"/>
      <c r="DL11" s="146"/>
      <c r="DM11" s="146"/>
      <c r="DN11" s="146"/>
      <c r="DQ11" s="146" t="s">
        <v>306</v>
      </c>
      <c r="DR11" s="161"/>
      <c r="DS11" s="69" t="s">
        <v>25</v>
      </c>
      <c r="DT11" s="71"/>
      <c r="DU11" s="69">
        <v>5</v>
      </c>
      <c r="DV11" s="71"/>
      <c r="DW11" s="191">
        <v>1805</v>
      </c>
      <c r="DX11" s="192"/>
      <c r="DY11" s="196" t="s">
        <v>311</v>
      </c>
      <c r="DZ11" s="196"/>
      <c r="EA11" s="196"/>
      <c r="EB11" s="196"/>
      <c r="EC11" s="198"/>
      <c r="ED11" s="193" t="s">
        <v>322</v>
      </c>
      <c r="EE11" s="70"/>
      <c r="EF11" s="71"/>
      <c r="EG11" s="145" t="s">
        <v>296</v>
      </c>
      <c r="EH11" s="146"/>
      <c r="EI11" s="146"/>
      <c r="EJ11" s="146"/>
      <c r="EK11" s="146"/>
      <c r="EL11" s="145" t="s">
        <v>297</v>
      </c>
      <c r="EM11" s="146"/>
      <c r="EN11" s="146"/>
      <c r="EO11" s="146"/>
      <c r="EP11" s="146"/>
      <c r="ES11" s="122" t="s">
        <v>308</v>
      </c>
      <c r="ET11" s="185"/>
      <c r="EU11" s="190" t="s">
        <v>25</v>
      </c>
      <c r="EV11" s="177"/>
      <c r="EW11" s="190">
        <v>5</v>
      </c>
      <c r="EX11" s="177"/>
      <c r="EY11" s="237">
        <v>1905</v>
      </c>
      <c r="EZ11" s="238"/>
      <c r="FA11" s="250" t="s">
        <v>324</v>
      </c>
      <c r="FB11" s="250"/>
      <c r="FC11" s="250"/>
      <c r="FD11" s="250"/>
      <c r="FE11" s="251"/>
      <c r="FF11" s="189" t="s">
        <v>317</v>
      </c>
      <c r="FG11" s="127"/>
      <c r="FH11" s="177"/>
      <c r="FI11" s="168" t="s">
        <v>310</v>
      </c>
      <c r="FJ11" s="122"/>
      <c r="FK11" s="122"/>
      <c r="FL11" s="122"/>
      <c r="FM11" s="122"/>
      <c r="FN11" s="168" t="s">
        <v>297</v>
      </c>
      <c r="FO11" s="122"/>
      <c r="FP11" s="122"/>
      <c r="FQ11" s="122"/>
      <c r="FR11" s="122"/>
      <c r="GA11" s="31"/>
    </row>
    <row r="12" spans="2:183">
      <c r="B12" s="70" t="s">
        <v>293</v>
      </c>
      <c r="C12" s="71"/>
      <c r="D12" s="69" t="s">
        <v>25</v>
      </c>
      <c r="E12" s="71"/>
      <c r="F12" s="69">
        <v>6</v>
      </c>
      <c r="G12" s="71"/>
      <c r="H12" s="69">
        <v>1406</v>
      </c>
      <c r="I12" s="71"/>
      <c r="J12" s="74" t="s">
        <v>313</v>
      </c>
      <c r="K12" s="74"/>
      <c r="L12" s="74"/>
      <c r="M12" s="74"/>
      <c r="N12" s="74"/>
      <c r="O12" s="69" t="s">
        <v>318</v>
      </c>
      <c r="P12" s="70"/>
      <c r="Q12" s="71"/>
      <c r="R12" s="145" t="s">
        <v>296</v>
      </c>
      <c r="S12" s="146"/>
      <c r="T12" s="146"/>
      <c r="U12" s="146"/>
      <c r="V12" s="147"/>
      <c r="W12" s="145" t="s">
        <v>297</v>
      </c>
      <c r="X12" s="146"/>
      <c r="Y12" s="146"/>
      <c r="Z12" s="146"/>
      <c r="AA12" s="146"/>
      <c r="AJ12" s="70" t="s">
        <v>298</v>
      </c>
      <c r="AK12" s="71"/>
      <c r="AL12" s="69" t="s">
        <v>25</v>
      </c>
      <c r="AM12" s="71"/>
      <c r="AN12" s="69">
        <v>6</v>
      </c>
      <c r="AO12" s="71"/>
      <c r="AP12" s="69">
        <v>1506</v>
      </c>
      <c r="AQ12" s="71"/>
      <c r="AR12" s="74" t="s">
        <v>313</v>
      </c>
      <c r="AS12" s="74"/>
      <c r="AT12" s="74"/>
      <c r="AU12" s="74"/>
      <c r="AV12" s="74"/>
      <c r="AW12" s="69" t="s">
        <v>319</v>
      </c>
      <c r="AX12" s="70"/>
      <c r="AY12" s="71"/>
      <c r="AZ12" s="145" t="s">
        <v>296</v>
      </c>
      <c r="BA12" s="146"/>
      <c r="BB12" s="146"/>
      <c r="BC12" s="146"/>
      <c r="BD12" s="147"/>
      <c r="BE12" s="145" t="s">
        <v>300</v>
      </c>
      <c r="BF12" s="146"/>
      <c r="BG12" s="146"/>
      <c r="BH12" s="146"/>
      <c r="BI12" s="147"/>
      <c r="BJ12" s="50"/>
      <c r="BL12" s="146" t="s">
        <v>301</v>
      </c>
      <c r="BM12" s="161"/>
      <c r="BN12" s="69" t="s">
        <v>25</v>
      </c>
      <c r="BO12" s="71"/>
      <c r="BP12" s="69">
        <v>6</v>
      </c>
      <c r="BQ12" s="71"/>
      <c r="BR12" s="191">
        <v>1606</v>
      </c>
      <c r="BS12" s="192"/>
      <c r="BT12" s="74" t="s">
        <v>313</v>
      </c>
      <c r="BU12" s="74"/>
      <c r="BV12" s="74"/>
      <c r="BW12" s="74"/>
      <c r="BX12" s="66"/>
      <c r="BY12" s="193" t="s">
        <v>320</v>
      </c>
      <c r="BZ12" s="70"/>
      <c r="CA12" s="71"/>
      <c r="CB12" s="145" t="s">
        <v>296</v>
      </c>
      <c r="CC12" s="146"/>
      <c r="CD12" s="146"/>
      <c r="CE12" s="146"/>
      <c r="CF12" s="146"/>
      <c r="CG12" s="145" t="s">
        <v>297</v>
      </c>
      <c r="CH12" s="146"/>
      <c r="CI12" s="146"/>
      <c r="CJ12" s="146"/>
      <c r="CK12" s="146"/>
      <c r="CO12" s="146" t="s">
        <v>304</v>
      </c>
      <c r="CP12" s="161"/>
      <c r="CQ12" s="69" t="s">
        <v>25</v>
      </c>
      <c r="CR12" s="71"/>
      <c r="CS12" s="69">
        <v>6</v>
      </c>
      <c r="CT12" s="71"/>
      <c r="CU12" s="191">
        <v>1706</v>
      </c>
      <c r="CV12" s="192"/>
      <c r="CW12" s="74" t="s">
        <v>313</v>
      </c>
      <c r="CX12" s="74"/>
      <c r="CY12" s="74"/>
      <c r="CZ12" s="74"/>
      <c r="DA12" s="66"/>
      <c r="DB12" s="193" t="s">
        <v>321</v>
      </c>
      <c r="DC12" s="70"/>
      <c r="DD12" s="71"/>
      <c r="DE12" s="145" t="s">
        <v>296</v>
      </c>
      <c r="DF12" s="146"/>
      <c r="DG12" s="146"/>
      <c r="DH12" s="146"/>
      <c r="DI12" s="146"/>
      <c r="DJ12" s="145" t="s">
        <v>297</v>
      </c>
      <c r="DK12" s="146"/>
      <c r="DL12" s="146"/>
      <c r="DM12" s="146"/>
      <c r="DN12" s="146"/>
      <c r="DQ12" s="146" t="s">
        <v>306</v>
      </c>
      <c r="DR12" s="161"/>
      <c r="DS12" s="69" t="s">
        <v>25</v>
      </c>
      <c r="DT12" s="71"/>
      <c r="DU12" s="69">
        <v>6</v>
      </c>
      <c r="DV12" s="71"/>
      <c r="DW12" s="191">
        <v>1806</v>
      </c>
      <c r="DX12" s="192"/>
      <c r="DY12" s="74" t="s">
        <v>313</v>
      </c>
      <c r="DZ12" s="74"/>
      <c r="EA12" s="74"/>
      <c r="EB12" s="74"/>
      <c r="EC12" s="66"/>
      <c r="ED12" s="193" t="s">
        <v>322</v>
      </c>
      <c r="EE12" s="70"/>
      <c r="EF12" s="71"/>
      <c r="EG12" s="145" t="s">
        <v>296</v>
      </c>
      <c r="EH12" s="146"/>
      <c r="EI12" s="146"/>
      <c r="EJ12" s="146"/>
      <c r="EK12" s="146"/>
      <c r="EL12" s="145" t="s">
        <v>297</v>
      </c>
      <c r="EM12" s="146"/>
      <c r="EN12" s="146"/>
      <c r="EO12" s="146"/>
      <c r="EP12" s="146"/>
      <c r="ES12" s="122" t="s">
        <v>308</v>
      </c>
      <c r="ET12" s="185"/>
      <c r="EU12" s="190" t="s">
        <v>25</v>
      </c>
      <c r="EV12" s="177"/>
      <c r="EW12" s="190">
        <v>6</v>
      </c>
      <c r="EX12" s="177"/>
      <c r="EY12" s="226">
        <v>1906</v>
      </c>
      <c r="EZ12" s="227"/>
      <c r="FA12" s="250" t="s">
        <v>405</v>
      </c>
      <c r="FB12" s="250"/>
      <c r="FC12" s="250"/>
      <c r="FD12" s="250"/>
      <c r="FE12" s="251"/>
      <c r="FF12" s="189" t="s">
        <v>317</v>
      </c>
      <c r="FG12" s="127"/>
      <c r="FH12" s="177"/>
      <c r="FI12" s="168" t="s">
        <v>310</v>
      </c>
      <c r="FJ12" s="122"/>
      <c r="FK12" s="122"/>
      <c r="FL12" s="122"/>
      <c r="FM12" s="122"/>
      <c r="FN12" s="168" t="s">
        <v>297</v>
      </c>
      <c r="FO12" s="122"/>
      <c r="FP12" s="122"/>
      <c r="FQ12" s="122"/>
      <c r="FR12" s="122"/>
      <c r="FW12" s="94"/>
      <c r="FX12" s="94"/>
      <c r="FY12" s="94"/>
      <c r="FZ12" s="94"/>
      <c r="GA12" s="94"/>
    </row>
    <row r="13" spans="2:183">
      <c r="B13" s="89" t="s">
        <v>293</v>
      </c>
      <c r="C13" s="90"/>
      <c r="D13" s="88" t="s">
        <v>25</v>
      </c>
      <c r="E13" s="90"/>
      <c r="F13" s="88">
        <v>7</v>
      </c>
      <c r="G13" s="90"/>
      <c r="H13" s="88">
        <v>1407</v>
      </c>
      <c r="I13" s="90"/>
      <c r="J13" s="151" t="s">
        <v>315</v>
      </c>
      <c r="K13" s="151"/>
      <c r="L13" s="151"/>
      <c r="M13" s="151"/>
      <c r="N13" s="151"/>
      <c r="O13" s="88" t="s">
        <v>318</v>
      </c>
      <c r="P13" s="89"/>
      <c r="Q13" s="90"/>
      <c r="R13" s="142" t="s">
        <v>296</v>
      </c>
      <c r="S13" s="143"/>
      <c r="T13" s="143"/>
      <c r="U13" s="143"/>
      <c r="V13" s="144"/>
      <c r="W13" s="142" t="s">
        <v>297</v>
      </c>
      <c r="X13" s="143"/>
      <c r="Y13" s="143"/>
      <c r="Z13" s="143"/>
      <c r="AA13" s="143"/>
      <c r="AJ13" s="89" t="s">
        <v>298</v>
      </c>
      <c r="AK13" s="90"/>
      <c r="AL13" s="88" t="s">
        <v>25</v>
      </c>
      <c r="AM13" s="90"/>
      <c r="AN13" s="88">
        <v>7</v>
      </c>
      <c r="AO13" s="90"/>
      <c r="AP13" s="88">
        <v>1507</v>
      </c>
      <c r="AQ13" s="90"/>
      <c r="AR13" s="151" t="s">
        <v>315</v>
      </c>
      <c r="AS13" s="151"/>
      <c r="AT13" s="151"/>
      <c r="AU13" s="151"/>
      <c r="AV13" s="151"/>
      <c r="AW13" s="88" t="s">
        <v>319</v>
      </c>
      <c r="AX13" s="89"/>
      <c r="AY13" s="90"/>
      <c r="AZ13" s="142" t="s">
        <v>296</v>
      </c>
      <c r="BA13" s="143"/>
      <c r="BB13" s="143"/>
      <c r="BC13" s="143"/>
      <c r="BD13" s="144"/>
      <c r="BE13" s="142" t="s">
        <v>300</v>
      </c>
      <c r="BF13" s="143"/>
      <c r="BG13" s="143"/>
      <c r="BH13" s="143"/>
      <c r="BI13" s="144"/>
      <c r="BJ13" s="50"/>
      <c r="BL13" s="143" t="s">
        <v>301</v>
      </c>
      <c r="BM13" s="195"/>
      <c r="BN13" s="69" t="s">
        <v>25</v>
      </c>
      <c r="BO13" s="71"/>
      <c r="BP13" s="69">
        <v>7</v>
      </c>
      <c r="BQ13" s="71"/>
      <c r="BR13" s="191">
        <v>1607</v>
      </c>
      <c r="BS13" s="192"/>
      <c r="BT13" s="74" t="s">
        <v>315</v>
      </c>
      <c r="BU13" s="74"/>
      <c r="BV13" s="74"/>
      <c r="BW13" s="74"/>
      <c r="BX13" s="66"/>
      <c r="BY13" s="193" t="s">
        <v>320</v>
      </c>
      <c r="BZ13" s="70"/>
      <c r="CA13" s="71"/>
      <c r="CB13" s="145" t="s">
        <v>296</v>
      </c>
      <c r="CC13" s="146"/>
      <c r="CD13" s="146"/>
      <c r="CE13" s="146"/>
      <c r="CF13" s="146"/>
      <c r="CG13" s="145" t="s">
        <v>297</v>
      </c>
      <c r="CH13" s="146"/>
      <c r="CI13" s="146"/>
      <c r="CJ13" s="146"/>
      <c r="CK13" s="146"/>
      <c r="CO13" s="146" t="s">
        <v>304</v>
      </c>
      <c r="CP13" s="161"/>
      <c r="CQ13" s="69" t="s">
        <v>25</v>
      </c>
      <c r="CR13" s="71"/>
      <c r="CS13" s="69">
        <v>7</v>
      </c>
      <c r="CT13" s="71"/>
      <c r="CU13" s="191">
        <v>1707</v>
      </c>
      <c r="CV13" s="192"/>
      <c r="CW13" s="74" t="s">
        <v>315</v>
      </c>
      <c r="CX13" s="74"/>
      <c r="CY13" s="74"/>
      <c r="CZ13" s="74"/>
      <c r="DA13" s="66"/>
      <c r="DB13" s="193" t="s">
        <v>321</v>
      </c>
      <c r="DC13" s="70"/>
      <c r="DD13" s="71"/>
      <c r="DE13" s="145" t="s">
        <v>296</v>
      </c>
      <c r="DF13" s="146"/>
      <c r="DG13" s="146"/>
      <c r="DH13" s="146"/>
      <c r="DI13" s="146"/>
      <c r="DJ13" s="145" t="s">
        <v>297</v>
      </c>
      <c r="DK13" s="146"/>
      <c r="DL13" s="146"/>
      <c r="DM13" s="146"/>
      <c r="DN13" s="146"/>
      <c r="DQ13" s="146" t="s">
        <v>306</v>
      </c>
      <c r="DR13" s="161"/>
      <c r="DS13" s="69" t="s">
        <v>25</v>
      </c>
      <c r="DT13" s="71"/>
      <c r="DU13" s="69">
        <v>7</v>
      </c>
      <c r="DV13" s="71"/>
      <c r="DW13" s="191">
        <v>1807</v>
      </c>
      <c r="DX13" s="192"/>
      <c r="DY13" s="151" t="s">
        <v>315</v>
      </c>
      <c r="DZ13" s="151"/>
      <c r="EA13" s="151"/>
      <c r="EB13" s="151"/>
      <c r="EC13" s="202"/>
      <c r="ED13" s="193" t="s">
        <v>322</v>
      </c>
      <c r="EE13" s="70"/>
      <c r="EF13" s="71"/>
      <c r="EG13" s="145" t="s">
        <v>296</v>
      </c>
      <c r="EH13" s="146"/>
      <c r="EI13" s="146"/>
      <c r="EJ13" s="146"/>
      <c r="EK13" s="146"/>
      <c r="EL13" s="145" t="s">
        <v>297</v>
      </c>
      <c r="EM13" s="146"/>
      <c r="EN13" s="146"/>
      <c r="EO13" s="146"/>
      <c r="EP13" s="146"/>
      <c r="ES13" s="143" t="s">
        <v>308</v>
      </c>
      <c r="ET13" s="195"/>
      <c r="EU13" s="88" t="s">
        <v>25</v>
      </c>
      <c r="EV13" s="90"/>
      <c r="EW13" s="190">
        <v>7</v>
      </c>
      <c r="EX13" s="177"/>
      <c r="EY13" s="237">
        <v>1907</v>
      </c>
      <c r="EZ13" s="238"/>
      <c r="FA13" s="239" t="s">
        <v>323</v>
      </c>
      <c r="FB13" s="240"/>
      <c r="FC13" s="240"/>
      <c r="FD13" s="240"/>
      <c r="FE13" s="241"/>
      <c r="FF13" s="184" t="s">
        <v>317</v>
      </c>
      <c r="FG13" s="89"/>
      <c r="FH13" s="90"/>
      <c r="FI13" s="142" t="s">
        <v>310</v>
      </c>
      <c r="FJ13" s="143"/>
      <c r="FK13" s="143"/>
      <c r="FL13" s="143"/>
      <c r="FM13" s="143"/>
      <c r="FN13" s="142" t="s">
        <v>297</v>
      </c>
      <c r="FO13" s="143"/>
      <c r="FP13" s="143"/>
      <c r="FQ13" s="143"/>
      <c r="FR13" s="143"/>
      <c r="FW13" s="94"/>
      <c r="FX13" s="94"/>
      <c r="FY13" s="94"/>
      <c r="FZ13" s="94"/>
      <c r="GA13" s="94"/>
    </row>
    <row r="14" spans="2:183">
      <c r="B14" s="149" t="s">
        <v>293</v>
      </c>
      <c r="C14" s="150"/>
      <c r="D14" s="148" t="s">
        <v>28</v>
      </c>
      <c r="E14" s="150"/>
      <c r="F14" s="148">
        <v>100</v>
      </c>
      <c r="G14" s="150"/>
      <c r="H14" s="148">
        <v>1000</v>
      </c>
      <c r="I14" s="150"/>
      <c r="J14" s="162" t="s">
        <v>501</v>
      </c>
      <c r="K14" s="162"/>
      <c r="L14" s="162"/>
      <c r="M14" s="162"/>
      <c r="N14" s="162"/>
      <c r="O14" s="148" t="s">
        <v>295</v>
      </c>
      <c r="P14" s="149"/>
      <c r="Q14" s="150"/>
      <c r="R14" s="158" t="s">
        <v>296</v>
      </c>
      <c r="S14" s="159"/>
      <c r="T14" s="159"/>
      <c r="U14" s="159"/>
      <c r="V14" s="160"/>
      <c r="W14" s="158" t="s">
        <v>297</v>
      </c>
      <c r="X14" s="159"/>
      <c r="Y14" s="159"/>
      <c r="Z14" s="159"/>
      <c r="AA14" s="159"/>
      <c r="AJ14" s="149" t="s">
        <v>298</v>
      </c>
      <c r="AK14" s="150"/>
      <c r="AL14" s="148" t="s">
        <v>25</v>
      </c>
      <c r="AM14" s="150"/>
      <c r="AN14" s="148">
        <v>8</v>
      </c>
      <c r="AO14" s="150"/>
      <c r="AP14" s="148">
        <v>1508</v>
      </c>
      <c r="AQ14" s="150"/>
      <c r="AR14" s="162" t="s">
        <v>294</v>
      </c>
      <c r="AS14" s="162"/>
      <c r="AT14" s="162"/>
      <c r="AU14" s="162"/>
      <c r="AV14" s="162"/>
      <c r="AW14" s="148" t="s">
        <v>325</v>
      </c>
      <c r="AX14" s="149"/>
      <c r="AY14" s="150"/>
      <c r="AZ14" s="158" t="s">
        <v>296</v>
      </c>
      <c r="BA14" s="159"/>
      <c r="BB14" s="159"/>
      <c r="BC14" s="159"/>
      <c r="BD14" s="160"/>
      <c r="BE14" s="158" t="s">
        <v>300</v>
      </c>
      <c r="BF14" s="159"/>
      <c r="BG14" s="159"/>
      <c r="BH14" s="159"/>
      <c r="BI14" s="160"/>
      <c r="BJ14" s="50"/>
      <c r="BL14" s="122" t="s">
        <v>301</v>
      </c>
      <c r="BM14" s="185"/>
      <c r="BN14" s="148" t="s">
        <v>28</v>
      </c>
      <c r="BO14" s="150"/>
      <c r="BP14" s="148">
        <v>100</v>
      </c>
      <c r="BQ14" s="150"/>
      <c r="BR14" s="148">
        <v>1200</v>
      </c>
      <c r="BS14" s="150"/>
      <c r="BT14" s="162" t="s">
        <v>326</v>
      </c>
      <c r="BU14" s="162"/>
      <c r="BV14" s="162"/>
      <c r="BW14" s="162"/>
      <c r="BX14" s="162"/>
      <c r="BY14" s="148" t="s">
        <v>303</v>
      </c>
      <c r="BZ14" s="149"/>
      <c r="CA14" s="150"/>
      <c r="CB14" s="158" t="s">
        <v>296</v>
      </c>
      <c r="CC14" s="159"/>
      <c r="CD14" s="159"/>
      <c r="CE14" s="159"/>
      <c r="CF14" s="160"/>
      <c r="CG14" s="158" t="s">
        <v>297</v>
      </c>
      <c r="CH14" s="159"/>
      <c r="CI14" s="159"/>
      <c r="CJ14" s="159"/>
      <c r="CK14" s="159"/>
      <c r="CO14" s="146" t="s">
        <v>304</v>
      </c>
      <c r="CP14" s="161"/>
      <c r="CQ14" s="148" t="s">
        <v>28</v>
      </c>
      <c r="CR14" s="150"/>
      <c r="CS14" s="148">
        <v>100</v>
      </c>
      <c r="CT14" s="150"/>
      <c r="CU14" s="148">
        <v>1300</v>
      </c>
      <c r="CV14" s="150"/>
      <c r="CW14" s="162" t="s">
        <v>327</v>
      </c>
      <c r="CX14" s="162"/>
      <c r="CY14" s="162"/>
      <c r="CZ14" s="162"/>
      <c r="DA14" s="162"/>
      <c r="DB14" s="148" t="s">
        <v>321</v>
      </c>
      <c r="DC14" s="149"/>
      <c r="DD14" s="150"/>
      <c r="DE14" s="158" t="s">
        <v>296</v>
      </c>
      <c r="DF14" s="159"/>
      <c r="DG14" s="159"/>
      <c r="DH14" s="159"/>
      <c r="DI14" s="160"/>
      <c r="DJ14" s="158" t="s">
        <v>297</v>
      </c>
      <c r="DK14" s="159"/>
      <c r="DL14" s="159"/>
      <c r="DM14" s="159"/>
      <c r="DN14" s="159"/>
      <c r="DQ14" s="146" t="s">
        <v>306</v>
      </c>
      <c r="DR14" s="161"/>
      <c r="DS14" s="148" t="s">
        <v>28</v>
      </c>
      <c r="DT14" s="150"/>
      <c r="DU14" s="148">
        <v>100</v>
      </c>
      <c r="DV14" s="150"/>
      <c r="DW14" s="148">
        <v>1400</v>
      </c>
      <c r="DX14" s="150"/>
      <c r="DY14" s="196" t="s">
        <v>328</v>
      </c>
      <c r="DZ14" s="196"/>
      <c r="EA14" s="196"/>
      <c r="EB14" s="196"/>
      <c r="EC14" s="196"/>
      <c r="ED14" s="148" t="s">
        <v>322</v>
      </c>
      <c r="EE14" s="149"/>
      <c r="EF14" s="150"/>
      <c r="EG14" s="158" t="s">
        <v>296</v>
      </c>
      <c r="EH14" s="159"/>
      <c r="EI14" s="159"/>
      <c r="EJ14" s="159"/>
      <c r="EK14" s="160"/>
      <c r="EL14" s="158" t="s">
        <v>297</v>
      </c>
      <c r="EM14" s="159"/>
      <c r="EN14" s="159"/>
      <c r="EO14" s="159"/>
      <c r="EP14" s="159"/>
      <c r="ES14" s="143" t="s">
        <v>308</v>
      </c>
      <c r="ET14" s="195"/>
      <c r="EU14" s="88" t="s">
        <v>25</v>
      </c>
      <c r="EV14" s="90"/>
      <c r="EW14" s="190">
        <v>8</v>
      </c>
      <c r="EX14" s="177"/>
      <c r="EY14" s="230">
        <v>1908</v>
      </c>
      <c r="EZ14" s="231"/>
      <c r="FA14" s="232" t="s">
        <v>497</v>
      </c>
      <c r="FB14" s="232"/>
      <c r="FC14" s="232"/>
      <c r="FD14" s="232"/>
      <c r="FE14" s="233"/>
      <c r="FF14" s="184" t="s">
        <v>317</v>
      </c>
      <c r="FG14" s="89"/>
      <c r="FH14" s="90"/>
      <c r="FI14" s="142" t="s">
        <v>310</v>
      </c>
      <c r="FJ14" s="143"/>
      <c r="FK14" s="143"/>
      <c r="FL14" s="143"/>
      <c r="FM14" s="143"/>
      <c r="FN14" s="142" t="s">
        <v>297</v>
      </c>
      <c r="FO14" s="143"/>
      <c r="FP14" s="143"/>
      <c r="FQ14" s="143"/>
      <c r="FR14" s="143"/>
      <c r="FW14" s="94"/>
      <c r="FX14" s="94"/>
      <c r="FY14" s="94"/>
      <c r="FZ14" s="94"/>
      <c r="GA14" s="94"/>
    </row>
    <row r="15" spans="2:183">
      <c r="B15" s="70" t="s">
        <v>293</v>
      </c>
      <c r="C15" s="71"/>
      <c r="D15" s="69" t="s">
        <v>28</v>
      </c>
      <c r="E15" s="71"/>
      <c r="F15" s="69">
        <v>101</v>
      </c>
      <c r="G15" s="71"/>
      <c r="H15" s="69">
        <v>1001</v>
      </c>
      <c r="I15" s="71"/>
      <c r="J15" s="74" t="s">
        <v>501</v>
      </c>
      <c r="K15" s="74"/>
      <c r="L15" s="74"/>
      <c r="M15" s="74"/>
      <c r="N15" s="74"/>
      <c r="O15" s="69" t="s">
        <v>295</v>
      </c>
      <c r="P15" s="70"/>
      <c r="Q15" s="71"/>
      <c r="R15" s="145" t="s">
        <v>296</v>
      </c>
      <c r="S15" s="146"/>
      <c r="T15" s="146"/>
      <c r="U15" s="146"/>
      <c r="V15" s="147"/>
      <c r="W15" s="145" t="s">
        <v>297</v>
      </c>
      <c r="X15" s="146"/>
      <c r="Y15" s="146"/>
      <c r="Z15" s="146"/>
      <c r="AA15" s="146"/>
      <c r="AJ15" s="70" t="s">
        <v>298</v>
      </c>
      <c r="AK15" s="71"/>
      <c r="AL15" s="69" t="s">
        <v>25</v>
      </c>
      <c r="AM15" s="71"/>
      <c r="AN15" s="69">
        <v>9</v>
      </c>
      <c r="AO15" s="71"/>
      <c r="AP15" s="69">
        <v>1509</v>
      </c>
      <c r="AQ15" s="71"/>
      <c r="AR15" s="74" t="s">
        <v>311</v>
      </c>
      <c r="AS15" s="74"/>
      <c r="AT15" s="74"/>
      <c r="AU15" s="74"/>
      <c r="AV15" s="74"/>
      <c r="AW15" s="69" t="s">
        <v>325</v>
      </c>
      <c r="AX15" s="70"/>
      <c r="AY15" s="71"/>
      <c r="AZ15" s="145" t="s">
        <v>296</v>
      </c>
      <c r="BA15" s="146"/>
      <c r="BB15" s="146"/>
      <c r="BC15" s="146"/>
      <c r="BD15" s="147"/>
      <c r="BE15" s="145" t="s">
        <v>300</v>
      </c>
      <c r="BF15" s="146"/>
      <c r="BG15" s="146"/>
      <c r="BH15" s="146"/>
      <c r="BI15" s="147"/>
      <c r="BJ15" s="50"/>
      <c r="BL15" s="146" t="s">
        <v>301</v>
      </c>
      <c r="BM15" s="161"/>
      <c r="BN15" s="69" t="s">
        <v>28</v>
      </c>
      <c r="BO15" s="71"/>
      <c r="BP15" s="69">
        <v>101</v>
      </c>
      <c r="BQ15" s="71"/>
      <c r="BR15" s="69">
        <v>1201</v>
      </c>
      <c r="BS15" s="71"/>
      <c r="BT15" s="74" t="s">
        <v>326</v>
      </c>
      <c r="BU15" s="74"/>
      <c r="BV15" s="74"/>
      <c r="BW15" s="74"/>
      <c r="BX15" s="74"/>
      <c r="BY15" s="69" t="s">
        <v>303</v>
      </c>
      <c r="BZ15" s="70"/>
      <c r="CA15" s="71"/>
      <c r="CB15" s="145" t="s">
        <v>296</v>
      </c>
      <c r="CC15" s="146"/>
      <c r="CD15" s="146"/>
      <c r="CE15" s="146"/>
      <c r="CF15" s="147"/>
      <c r="CG15" s="145" t="s">
        <v>297</v>
      </c>
      <c r="CH15" s="146"/>
      <c r="CI15" s="146"/>
      <c r="CJ15" s="146"/>
      <c r="CK15" s="146"/>
      <c r="CO15" s="146" t="s">
        <v>304</v>
      </c>
      <c r="CP15" s="161"/>
      <c r="CQ15" s="69" t="s">
        <v>28</v>
      </c>
      <c r="CR15" s="71"/>
      <c r="CS15" s="69">
        <v>101</v>
      </c>
      <c r="CT15" s="71"/>
      <c r="CU15" s="69">
        <v>1301</v>
      </c>
      <c r="CV15" s="71"/>
      <c r="CW15" s="74" t="s">
        <v>327</v>
      </c>
      <c r="CX15" s="74"/>
      <c r="CY15" s="74"/>
      <c r="CZ15" s="74"/>
      <c r="DA15" s="74"/>
      <c r="DB15" s="69" t="s">
        <v>321</v>
      </c>
      <c r="DC15" s="70"/>
      <c r="DD15" s="71"/>
      <c r="DE15" s="145" t="s">
        <v>296</v>
      </c>
      <c r="DF15" s="146"/>
      <c r="DG15" s="146"/>
      <c r="DH15" s="146"/>
      <c r="DI15" s="147"/>
      <c r="DJ15" s="145" t="s">
        <v>297</v>
      </c>
      <c r="DK15" s="146"/>
      <c r="DL15" s="146"/>
      <c r="DM15" s="146"/>
      <c r="DN15" s="146"/>
      <c r="DQ15" s="146" t="s">
        <v>306</v>
      </c>
      <c r="DR15" s="161"/>
      <c r="DS15" s="69" t="s">
        <v>28</v>
      </c>
      <c r="DT15" s="71"/>
      <c r="DU15" s="69">
        <v>101</v>
      </c>
      <c r="DV15" s="71"/>
      <c r="DW15" s="69">
        <v>1401</v>
      </c>
      <c r="DX15" s="71"/>
      <c r="DY15" s="196" t="s">
        <v>328</v>
      </c>
      <c r="DZ15" s="196"/>
      <c r="EA15" s="196"/>
      <c r="EB15" s="196"/>
      <c r="EC15" s="196"/>
      <c r="ED15" s="69" t="s">
        <v>322</v>
      </c>
      <c r="EE15" s="70"/>
      <c r="EF15" s="71"/>
      <c r="EG15" s="145" t="s">
        <v>296</v>
      </c>
      <c r="EH15" s="146"/>
      <c r="EI15" s="146"/>
      <c r="EJ15" s="146"/>
      <c r="EK15" s="147"/>
      <c r="EL15" s="145" t="s">
        <v>297</v>
      </c>
      <c r="EM15" s="146"/>
      <c r="EN15" s="146"/>
      <c r="EO15" s="146"/>
      <c r="EP15" s="146"/>
      <c r="ES15" s="217" t="s">
        <v>308</v>
      </c>
      <c r="ET15" s="218"/>
      <c r="EU15" s="219" t="s">
        <v>28</v>
      </c>
      <c r="EV15" s="218"/>
      <c r="EW15" s="219">
        <v>100</v>
      </c>
      <c r="EX15" s="218"/>
      <c r="EY15" s="219">
        <v>1500</v>
      </c>
      <c r="EZ15" s="218"/>
      <c r="FA15" s="234" t="s">
        <v>402</v>
      </c>
      <c r="FB15" s="235"/>
      <c r="FC15" s="235"/>
      <c r="FD15" s="235"/>
      <c r="FE15" s="236"/>
      <c r="FF15" s="219" t="s">
        <v>308</v>
      </c>
      <c r="FG15" s="217"/>
      <c r="FH15" s="218"/>
      <c r="FI15" s="219" t="s">
        <v>310</v>
      </c>
      <c r="FJ15" s="217"/>
      <c r="FK15" s="217"/>
      <c r="FL15" s="217"/>
      <c r="FM15" s="218"/>
      <c r="FN15" s="217" t="s">
        <v>297</v>
      </c>
      <c r="FO15" s="217"/>
      <c r="FP15" s="217"/>
      <c r="FQ15" s="217"/>
      <c r="FR15" s="217"/>
    </row>
    <row r="16" spans="2:183">
      <c r="B16" s="70" t="s">
        <v>293</v>
      </c>
      <c r="C16" s="71"/>
      <c r="D16" s="69" t="s">
        <v>28</v>
      </c>
      <c r="E16" s="71"/>
      <c r="F16" s="69">
        <v>102</v>
      </c>
      <c r="G16" s="71"/>
      <c r="H16" s="69">
        <v>1002</v>
      </c>
      <c r="I16" s="71"/>
      <c r="J16" s="74" t="s">
        <v>501</v>
      </c>
      <c r="K16" s="74"/>
      <c r="L16" s="74"/>
      <c r="M16" s="74"/>
      <c r="N16" s="74"/>
      <c r="O16" s="69" t="s">
        <v>295</v>
      </c>
      <c r="P16" s="70"/>
      <c r="Q16" s="71"/>
      <c r="R16" s="145" t="s">
        <v>296</v>
      </c>
      <c r="S16" s="146"/>
      <c r="T16" s="146"/>
      <c r="U16" s="146"/>
      <c r="V16" s="147"/>
      <c r="W16" s="145" t="s">
        <v>297</v>
      </c>
      <c r="X16" s="146"/>
      <c r="Y16" s="146"/>
      <c r="Z16" s="146"/>
      <c r="AA16" s="146"/>
      <c r="AJ16" s="70" t="s">
        <v>298</v>
      </c>
      <c r="AK16" s="71"/>
      <c r="AL16" s="69" t="s">
        <v>25</v>
      </c>
      <c r="AM16" s="71"/>
      <c r="AN16" s="69" t="s">
        <v>329</v>
      </c>
      <c r="AO16" s="71"/>
      <c r="AP16" s="69" t="s">
        <v>330</v>
      </c>
      <c r="AQ16" s="71"/>
      <c r="AR16" s="74" t="s">
        <v>313</v>
      </c>
      <c r="AS16" s="74"/>
      <c r="AT16" s="74"/>
      <c r="AU16" s="74"/>
      <c r="AV16" s="74"/>
      <c r="AW16" s="69" t="s">
        <v>325</v>
      </c>
      <c r="AX16" s="70"/>
      <c r="AY16" s="71"/>
      <c r="AZ16" s="145" t="s">
        <v>296</v>
      </c>
      <c r="BA16" s="146"/>
      <c r="BB16" s="146"/>
      <c r="BC16" s="146"/>
      <c r="BD16" s="147"/>
      <c r="BE16" s="145" t="s">
        <v>300</v>
      </c>
      <c r="BF16" s="146"/>
      <c r="BG16" s="146"/>
      <c r="BH16" s="146"/>
      <c r="BI16" s="147"/>
      <c r="BJ16" s="50"/>
      <c r="BL16" s="146" t="s">
        <v>301</v>
      </c>
      <c r="BM16" s="161"/>
      <c r="BN16" s="69" t="s">
        <v>28</v>
      </c>
      <c r="BO16" s="71"/>
      <c r="BP16" s="69">
        <v>102</v>
      </c>
      <c r="BQ16" s="71"/>
      <c r="BR16" s="69">
        <v>1202</v>
      </c>
      <c r="BS16" s="71"/>
      <c r="BT16" s="74" t="s">
        <v>326</v>
      </c>
      <c r="BU16" s="74"/>
      <c r="BV16" s="74"/>
      <c r="BW16" s="74"/>
      <c r="BX16" s="74"/>
      <c r="BY16" s="69" t="s">
        <v>303</v>
      </c>
      <c r="BZ16" s="70"/>
      <c r="CA16" s="71"/>
      <c r="CB16" s="145" t="s">
        <v>296</v>
      </c>
      <c r="CC16" s="146"/>
      <c r="CD16" s="146"/>
      <c r="CE16" s="146"/>
      <c r="CF16" s="147"/>
      <c r="CG16" s="145" t="s">
        <v>297</v>
      </c>
      <c r="CH16" s="146"/>
      <c r="CI16" s="146"/>
      <c r="CJ16" s="146"/>
      <c r="CK16" s="146"/>
      <c r="CO16" s="146" t="s">
        <v>304</v>
      </c>
      <c r="CP16" s="161"/>
      <c r="CQ16" s="69" t="s">
        <v>28</v>
      </c>
      <c r="CR16" s="71"/>
      <c r="CS16" s="69">
        <v>102</v>
      </c>
      <c r="CT16" s="71"/>
      <c r="CU16" s="69">
        <v>1302</v>
      </c>
      <c r="CV16" s="71"/>
      <c r="CW16" s="74" t="s">
        <v>327</v>
      </c>
      <c r="CX16" s="74"/>
      <c r="CY16" s="74"/>
      <c r="CZ16" s="74"/>
      <c r="DA16" s="74"/>
      <c r="DB16" s="69" t="s">
        <v>321</v>
      </c>
      <c r="DC16" s="70"/>
      <c r="DD16" s="71"/>
      <c r="DE16" s="145" t="s">
        <v>296</v>
      </c>
      <c r="DF16" s="146"/>
      <c r="DG16" s="146"/>
      <c r="DH16" s="146"/>
      <c r="DI16" s="147"/>
      <c r="DJ16" s="145" t="s">
        <v>297</v>
      </c>
      <c r="DK16" s="146"/>
      <c r="DL16" s="146"/>
      <c r="DM16" s="146"/>
      <c r="DN16" s="146"/>
      <c r="DQ16" s="146" t="s">
        <v>306</v>
      </c>
      <c r="DR16" s="161"/>
      <c r="DS16" s="69" t="s">
        <v>28</v>
      </c>
      <c r="DT16" s="71"/>
      <c r="DU16" s="69">
        <v>102</v>
      </c>
      <c r="DV16" s="71"/>
      <c r="DW16" s="69">
        <v>1402</v>
      </c>
      <c r="DX16" s="71"/>
      <c r="DY16" s="196" t="s">
        <v>328</v>
      </c>
      <c r="DZ16" s="196"/>
      <c r="EA16" s="196"/>
      <c r="EB16" s="196"/>
      <c r="EC16" s="196"/>
      <c r="ED16" s="69" t="s">
        <v>322</v>
      </c>
      <c r="EE16" s="70"/>
      <c r="EF16" s="71"/>
      <c r="EG16" s="145" t="s">
        <v>296</v>
      </c>
      <c r="EH16" s="146"/>
      <c r="EI16" s="146"/>
      <c r="EJ16" s="146"/>
      <c r="EK16" s="147"/>
      <c r="EL16" s="145" t="s">
        <v>297</v>
      </c>
      <c r="EM16" s="146"/>
      <c r="EN16" s="146"/>
      <c r="EO16" s="146"/>
      <c r="EP16" s="146"/>
      <c r="ES16" s="152" t="s">
        <v>308</v>
      </c>
      <c r="ET16" s="153"/>
      <c r="EU16" s="154" t="s">
        <v>28</v>
      </c>
      <c r="EV16" s="153"/>
      <c r="EW16" s="154">
        <v>101</v>
      </c>
      <c r="EX16" s="153"/>
      <c r="EY16" s="154">
        <v>1501</v>
      </c>
      <c r="EZ16" s="153"/>
      <c r="FA16" s="155" t="s">
        <v>402</v>
      </c>
      <c r="FB16" s="156"/>
      <c r="FC16" s="156"/>
      <c r="FD16" s="156"/>
      <c r="FE16" s="157"/>
      <c r="FF16" s="154" t="s">
        <v>308</v>
      </c>
      <c r="FG16" s="152"/>
      <c r="FH16" s="153"/>
      <c r="FI16" s="154" t="s">
        <v>310</v>
      </c>
      <c r="FJ16" s="152"/>
      <c r="FK16" s="152"/>
      <c r="FL16" s="152"/>
      <c r="FM16" s="153"/>
      <c r="FN16" s="152" t="s">
        <v>297</v>
      </c>
      <c r="FO16" s="152"/>
      <c r="FP16" s="152"/>
      <c r="FQ16" s="152"/>
      <c r="FR16" s="152"/>
    </row>
    <row r="17" spans="2:174">
      <c r="B17" s="70" t="s">
        <v>293</v>
      </c>
      <c r="C17" s="71"/>
      <c r="D17" s="69" t="s">
        <v>28</v>
      </c>
      <c r="E17" s="71"/>
      <c r="F17" s="69">
        <v>103</v>
      </c>
      <c r="G17" s="71"/>
      <c r="H17" s="69">
        <v>1003</v>
      </c>
      <c r="I17" s="71"/>
      <c r="J17" s="74" t="s">
        <v>501</v>
      </c>
      <c r="K17" s="74"/>
      <c r="L17" s="74"/>
      <c r="M17" s="74"/>
      <c r="N17" s="74"/>
      <c r="O17" s="69" t="s">
        <v>295</v>
      </c>
      <c r="P17" s="70"/>
      <c r="Q17" s="71"/>
      <c r="R17" s="145" t="s">
        <v>296</v>
      </c>
      <c r="S17" s="146"/>
      <c r="T17" s="146"/>
      <c r="U17" s="146"/>
      <c r="V17" s="147"/>
      <c r="W17" s="145" t="s">
        <v>297</v>
      </c>
      <c r="X17" s="146"/>
      <c r="Y17" s="146"/>
      <c r="Z17" s="146"/>
      <c r="AA17" s="146"/>
      <c r="AJ17" s="89" t="s">
        <v>298</v>
      </c>
      <c r="AK17" s="90"/>
      <c r="AL17" s="88" t="s">
        <v>25</v>
      </c>
      <c r="AM17" s="90"/>
      <c r="AN17" s="88" t="s">
        <v>25</v>
      </c>
      <c r="AO17" s="90"/>
      <c r="AP17" s="88" t="s">
        <v>331</v>
      </c>
      <c r="AQ17" s="90"/>
      <c r="AR17" s="151" t="s">
        <v>315</v>
      </c>
      <c r="AS17" s="151"/>
      <c r="AT17" s="151"/>
      <c r="AU17" s="151"/>
      <c r="AV17" s="151"/>
      <c r="AW17" s="88" t="s">
        <v>325</v>
      </c>
      <c r="AX17" s="89"/>
      <c r="AY17" s="90"/>
      <c r="AZ17" s="142" t="s">
        <v>296</v>
      </c>
      <c r="BA17" s="143"/>
      <c r="BB17" s="143"/>
      <c r="BC17" s="143"/>
      <c r="BD17" s="144"/>
      <c r="BE17" s="142" t="s">
        <v>300</v>
      </c>
      <c r="BF17" s="143"/>
      <c r="BG17" s="143"/>
      <c r="BH17" s="143"/>
      <c r="BI17" s="144"/>
      <c r="BJ17" s="50"/>
      <c r="BL17" s="146" t="s">
        <v>301</v>
      </c>
      <c r="BM17" s="161"/>
      <c r="BN17" s="69" t="s">
        <v>28</v>
      </c>
      <c r="BO17" s="71"/>
      <c r="BP17" s="69">
        <v>103</v>
      </c>
      <c r="BQ17" s="71"/>
      <c r="BR17" s="69">
        <v>1203</v>
      </c>
      <c r="BS17" s="71"/>
      <c r="BT17" s="74" t="s">
        <v>326</v>
      </c>
      <c r="BU17" s="74"/>
      <c r="BV17" s="74"/>
      <c r="BW17" s="74"/>
      <c r="BX17" s="74"/>
      <c r="BY17" s="69" t="s">
        <v>303</v>
      </c>
      <c r="BZ17" s="70"/>
      <c r="CA17" s="71"/>
      <c r="CB17" s="145" t="s">
        <v>296</v>
      </c>
      <c r="CC17" s="146"/>
      <c r="CD17" s="146"/>
      <c r="CE17" s="146"/>
      <c r="CF17" s="147"/>
      <c r="CG17" s="145" t="s">
        <v>297</v>
      </c>
      <c r="CH17" s="146"/>
      <c r="CI17" s="146"/>
      <c r="CJ17" s="146"/>
      <c r="CK17" s="146"/>
      <c r="CO17" s="146" t="s">
        <v>304</v>
      </c>
      <c r="CP17" s="161"/>
      <c r="CQ17" s="69" t="s">
        <v>28</v>
      </c>
      <c r="CR17" s="71"/>
      <c r="CS17" s="69">
        <v>103</v>
      </c>
      <c r="CT17" s="71"/>
      <c r="CU17" s="69">
        <v>1303</v>
      </c>
      <c r="CV17" s="71"/>
      <c r="CW17" s="74" t="s">
        <v>327</v>
      </c>
      <c r="CX17" s="74"/>
      <c r="CY17" s="74"/>
      <c r="CZ17" s="74"/>
      <c r="DA17" s="74"/>
      <c r="DB17" s="69" t="s">
        <v>321</v>
      </c>
      <c r="DC17" s="70"/>
      <c r="DD17" s="71"/>
      <c r="DE17" s="145" t="s">
        <v>296</v>
      </c>
      <c r="DF17" s="146"/>
      <c r="DG17" s="146"/>
      <c r="DH17" s="146"/>
      <c r="DI17" s="147"/>
      <c r="DJ17" s="145" t="s">
        <v>297</v>
      </c>
      <c r="DK17" s="146"/>
      <c r="DL17" s="146"/>
      <c r="DM17" s="146"/>
      <c r="DN17" s="146"/>
      <c r="DQ17" s="146" t="s">
        <v>306</v>
      </c>
      <c r="DR17" s="161"/>
      <c r="DS17" s="69" t="s">
        <v>28</v>
      </c>
      <c r="DT17" s="71"/>
      <c r="DU17" s="69">
        <v>103</v>
      </c>
      <c r="DV17" s="71"/>
      <c r="DW17" s="69">
        <v>1403</v>
      </c>
      <c r="DX17" s="71"/>
      <c r="DY17" s="196" t="s">
        <v>328</v>
      </c>
      <c r="DZ17" s="196"/>
      <c r="EA17" s="196"/>
      <c r="EB17" s="196"/>
      <c r="EC17" s="196"/>
      <c r="ED17" s="69" t="s">
        <v>322</v>
      </c>
      <c r="EE17" s="70"/>
      <c r="EF17" s="71"/>
      <c r="EG17" s="145" t="s">
        <v>296</v>
      </c>
      <c r="EH17" s="146"/>
      <c r="EI17" s="146"/>
      <c r="EJ17" s="146"/>
      <c r="EK17" s="147"/>
      <c r="EL17" s="145" t="s">
        <v>297</v>
      </c>
      <c r="EM17" s="146"/>
      <c r="EN17" s="146"/>
      <c r="EO17" s="146"/>
      <c r="EP17" s="146"/>
      <c r="ES17" s="152" t="s">
        <v>308</v>
      </c>
      <c r="ET17" s="153"/>
      <c r="EU17" s="154" t="s">
        <v>28</v>
      </c>
      <c r="EV17" s="153"/>
      <c r="EW17" s="154">
        <v>102</v>
      </c>
      <c r="EX17" s="153"/>
      <c r="EY17" s="154">
        <v>1502</v>
      </c>
      <c r="EZ17" s="153"/>
      <c r="FA17" s="155" t="s">
        <v>402</v>
      </c>
      <c r="FB17" s="156"/>
      <c r="FC17" s="156"/>
      <c r="FD17" s="156"/>
      <c r="FE17" s="157"/>
      <c r="FF17" s="154" t="s">
        <v>308</v>
      </c>
      <c r="FG17" s="152"/>
      <c r="FH17" s="153"/>
      <c r="FI17" s="154" t="s">
        <v>310</v>
      </c>
      <c r="FJ17" s="152"/>
      <c r="FK17" s="152"/>
      <c r="FL17" s="152"/>
      <c r="FM17" s="153"/>
      <c r="FN17" s="152" t="s">
        <v>297</v>
      </c>
      <c r="FO17" s="152"/>
      <c r="FP17" s="152"/>
      <c r="FQ17" s="152"/>
      <c r="FR17" s="152"/>
    </row>
    <row r="18" spans="2:174">
      <c r="B18" s="70" t="s">
        <v>293</v>
      </c>
      <c r="C18" s="71"/>
      <c r="D18" s="69" t="s">
        <v>28</v>
      </c>
      <c r="E18" s="71"/>
      <c r="F18" s="69">
        <v>104</v>
      </c>
      <c r="G18" s="71"/>
      <c r="H18" s="69">
        <v>1004</v>
      </c>
      <c r="I18" s="71"/>
      <c r="J18" s="74" t="s">
        <v>501</v>
      </c>
      <c r="K18" s="74"/>
      <c r="L18" s="74"/>
      <c r="M18" s="74"/>
      <c r="N18" s="74"/>
      <c r="O18" s="69" t="s">
        <v>295</v>
      </c>
      <c r="P18" s="70"/>
      <c r="Q18" s="71"/>
      <c r="R18" s="145" t="s">
        <v>296</v>
      </c>
      <c r="S18" s="146"/>
      <c r="T18" s="146"/>
      <c r="U18" s="146"/>
      <c r="V18" s="147"/>
      <c r="W18" s="145" t="s">
        <v>297</v>
      </c>
      <c r="X18" s="146"/>
      <c r="Y18" s="146"/>
      <c r="Z18" s="146"/>
      <c r="AA18" s="146"/>
      <c r="AJ18" s="149" t="s">
        <v>298</v>
      </c>
      <c r="AK18" s="150"/>
      <c r="AL18" s="148" t="s">
        <v>25</v>
      </c>
      <c r="AM18" s="150"/>
      <c r="AN18" s="148" t="s">
        <v>332</v>
      </c>
      <c r="AO18" s="150"/>
      <c r="AP18" s="148" t="s">
        <v>333</v>
      </c>
      <c r="AQ18" s="150"/>
      <c r="AR18" s="162" t="s">
        <v>294</v>
      </c>
      <c r="AS18" s="162"/>
      <c r="AT18" s="162"/>
      <c r="AU18" s="162"/>
      <c r="AV18" s="162"/>
      <c r="AW18" s="148" t="s">
        <v>334</v>
      </c>
      <c r="AX18" s="149"/>
      <c r="AY18" s="150"/>
      <c r="AZ18" s="158" t="s">
        <v>296</v>
      </c>
      <c r="BA18" s="159"/>
      <c r="BB18" s="159"/>
      <c r="BC18" s="159"/>
      <c r="BD18" s="160"/>
      <c r="BE18" s="158" t="s">
        <v>300</v>
      </c>
      <c r="BF18" s="159"/>
      <c r="BG18" s="159"/>
      <c r="BH18" s="159"/>
      <c r="BI18" s="160"/>
      <c r="BJ18" s="50"/>
      <c r="BL18" s="146" t="s">
        <v>301</v>
      </c>
      <c r="BM18" s="161"/>
      <c r="BN18" s="69" t="s">
        <v>28</v>
      </c>
      <c r="BO18" s="71"/>
      <c r="BP18" s="69">
        <v>104</v>
      </c>
      <c r="BQ18" s="71"/>
      <c r="BR18" s="69">
        <v>1204</v>
      </c>
      <c r="BS18" s="71"/>
      <c r="BT18" s="74" t="s">
        <v>326</v>
      </c>
      <c r="BU18" s="74"/>
      <c r="BV18" s="74"/>
      <c r="BW18" s="74"/>
      <c r="BX18" s="74"/>
      <c r="BY18" s="69" t="s">
        <v>303</v>
      </c>
      <c r="BZ18" s="70"/>
      <c r="CA18" s="71"/>
      <c r="CB18" s="145" t="s">
        <v>296</v>
      </c>
      <c r="CC18" s="146"/>
      <c r="CD18" s="146"/>
      <c r="CE18" s="146"/>
      <c r="CF18" s="147"/>
      <c r="CG18" s="145" t="s">
        <v>297</v>
      </c>
      <c r="CH18" s="146"/>
      <c r="CI18" s="146"/>
      <c r="CJ18" s="146"/>
      <c r="CK18" s="146"/>
      <c r="CO18" s="146" t="s">
        <v>304</v>
      </c>
      <c r="CP18" s="161"/>
      <c r="CQ18" s="69" t="s">
        <v>28</v>
      </c>
      <c r="CR18" s="71"/>
      <c r="CS18" s="69">
        <v>104</v>
      </c>
      <c r="CT18" s="71"/>
      <c r="CU18" s="69">
        <v>1304</v>
      </c>
      <c r="CV18" s="71"/>
      <c r="CW18" s="74" t="s">
        <v>327</v>
      </c>
      <c r="CX18" s="74"/>
      <c r="CY18" s="74"/>
      <c r="CZ18" s="74"/>
      <c r="DA18" s="74"/>
      <c r="DB18" s="69" t="s">
        <v>321</v>
      </c>
      <c r="DC18" s="70"/>
      <c r="DD18" s="71"/>
      <c r="DE18" s="145" t="s">
        <v>296</v>
      </c>
      <c r="DF18" s="146"/>
      <c r="DG18" s="146"/>
      <c r="DH18" s="146"/>
      <c r="DI18" s="147"/>
      <c r="DJ18" s="145" t="s">
        <v>297</v>
      </c>
      <c r="DK18" s="146"/>
      <c r="DL18" s="146"/>
      <c r="DM18" s="146"/>
      <c r="DN18" s="146"/>
      <c r="DQ18" s="146" t="s">
        <v>306</v>
      </c>
      <c r="DR18" s="161"/>
      <c r="DS18" s="69" t="s">
        <v>28</v>
      </c>
      <c r="DT18" s="71"/>
      <c r="DU18" s="69">
        <v>104</v>
      </c>
      <c r="DV18" s="71"/>
      <c r="DW18" s="69">
        <v>1404</v>
      </c>
      <c r="DX18" s="71"/>
      <c r="DY18" s="196" t="s">
        <v>328</v>
      </c>
      <c r="DZ18" s="196"/>
      <c r="EA18" s="196"/>
      <c r="EB18" s="196"/>
      <c r="EC18" s="196"/>
      <c r="ED18" s="69" t="s">
        <v>322</v>
      </c>
      <c r="EE18" s="70"/>
      <c r="EF18" s="71"/>
      <c r="EG18" s="145" t="s">
        <v>296</v>
      </c>
      <c r="EH18" s="146"/>
      <c r="EI18" s="146"/>
      <c r="EJ18" s="146"/>
      <c r="EK18" s="147"/>
      <c r="EL18" s="145" t="s">
        <v>297</v>
      </c>
      <c r="EM18" s="146"/>
      <c r="EN18" s="146"/>
      <c r="EO18" s="146"/>
      <c r="EP18" s="146"/>
      <c r="ES18" s="152" t="s">
        <v>308</v>
      </c>
      <c r="ET18" s="153"/>
      <c r="EU18" s="154" t="s">
        <v>28</v>
      </c>
      <c r="EV18" s="153"/>
      <c r="EW18" s="154">
        <v>103</v>
      </c>
      <c r="EX18" s="153"/>
      <c r="EY18" s="154">
        <v>1503</v>
      </c>
      <c r="EZ18" s="153"/>
      <c r="FA18" s="155" t="s">
        <v>402</v>
      </c>
      <c r="FB18" s="156"/>
      <c r="FC18" s="156"/>
      <c r="FD18" s="156"/>
      <c r="FE18" s="157"/>
      <c r="FF18" s="154" t="s">
        <v>308</v>
      </c>
      <c r="FG18" s="152"/>
      <c r="FH18" s="153"/>
      <c r="FI18" s="154" t="s">
        <v>310</v>
      </c>
      <c r="FJ18" s="152"/>
      <c r="FK18" s="152"/>
      <c r="FL18" s="152"/>
      <c r="FM18" s="153"/>
      <c r="FN18" s="152" t="s">
        <v>297</v>
      </c>
      <c r="FO18" s="152"/>
      <c r="FP18" s="152"/>
      <c r="FQ18" s="152"/>
      <c r="FR18" s="152"/>
    </row>
    <row r="19" spans="2:174">
      <c r="B19" s="70" t="s">
        <v>293</v>
      </c>
      <c r="C19" s="71"/>
      <c r="D19" s="69" t="s">
        <v>28</v>
      </c>
      <c r="E19" s="71"/>
      <c r="F19" s="69">
        <v>105</v>
      </c>
      <c r="G19" s="71"/>
      <c r="H19" s="69">
        <v>1005</v>
      </c>
      <c r="I19" s="71"/>
      <c r="J19" s="74" t="s">
        <v>501</v>
      </c>
      <c r="K19" s="74"/>
      <c r="L19" s="74"/>
      <c r="M19" s="74"/>
      <c r="N19" s="74"/>
      <c r="O19" s="69" t="s">
        <v>295</v>
      </c>
      <c r="P19" s="70"/>
      <c r="Q19" s="71"/>
      <c r="R19" s="165" t="s">
        <v>296</v>
      </c>
      <c r="S19" s="166"/>
      <c r="T19" s="166"/>
      <c r="U19" s="166"/>
      <c r="V19" s="167"/>
      <c r="W19" s="165" t="s">
        <v>297</v>
      </c>
      <c r="X19" s="166"/>
      <c r="Y19" s="166"/>
      <c r="Z19" s="166"/>
      <c r="AA19" s="166"/>
      <c r="AJ19" s="70" t="s">
        <v>298</v>
      </c>
      <c r="AK19" s="71"/>
      <c r="AL19" s="69" t="s">
        <v>25</v>
      </c>
      <c r="AM19" s="71"/>
      <c r="AN19" s="69" t="s">
        <v>335</v>
      </c>
      <c r="AO19" s="71"/>
      <c r="AP19" s="69" t="s">
        <v>336</v>
      </c>
      <c r="AQ19" s="71"/>
      <c r="AR19" s="74" t="s">
        <v>311</v>
      </c>
      <c r="AS19" s="74"/>
      <c r="AT19" s="74"/>
      <c r="AU19" s="74"/>
      <c r="AV19" s="74"/>
      <c r="AW19" s="69" t="s">
        <v>334</v>
      </c>
      <c r="AX19" s="70"/>
      <c r="AY19" s="71"/>
      <c r="AZ19" s="145" t="s">
        <v>296</v>
      </c>
      <c r="BA19" s="146"/>
      <c r="BB19" s="146"/>
      <c r="BC19" s="146"/>
      <c r="BD19" s="147"/>
      <c r="BE19" s="145" t="s">
        <v>300</v>
      </c>
      <c r="BF19" s="146"/>
      <c r="BG19" s="146"/>
      <c r="BH19" s="146"/>
      <c r="BI19" s="147"/>
      <c r="BJ19" s="50"/>
      <c r="BL19" s="143" t="s">
        <v>301</v>
      </c>
      <c r="BM19" s="195"/>
      <c r="BN19" s="88" t="s">
        <v>28</v>
      </c>
      <c r="BO19" s="90"/>
      <c r="BP19" s="88">
        <v>105</v>
      </c>
      <c r="BQ19" s="90"/>
      <c r="BR19" s="88">
        <v>1205</v>
      </c>
      <c r="BS19" s="90"/>
      <c r="BT19" s="151" t="s">
        <v>326</v>
      </c>
      <c r="BU19" s="151"/>
      <c r="BV19" s="151"/>
      <c r="BW19" s="151"/>
      <c r="BX19" s="151"/>
      <c r="BY19" s="88" t="s">
        <v>303</v>
      </c>
      <c r="BZ19" s="89"/>
      <c r="CA19" s="90"/>
      <c r="CB19" s="142" t="s">
        <v>296</v>
      </c>
      <c r="CC19" s="143"/>
      <c r="CD19" s="143"/>
      <c r="CE19" s="143"/>
      <c r="CF19" s="144"/>
      <c r="CG19" s="142" t="s">
        <v>297</v>
      </c>
      <c r="CH19" s="143"/>
      <c r="CI19" s="143"/>
      <c r="CJ19" s="143"/>
      <c r="CK19" s="143"/>
      <c r="CO19" s="146" t="s">
        <v>304</v>
      </c>
      <c r="CP19" s="161"/>
      <c r="CQ19" s="88" t="s">
        <v>28</v>
      </c>
      <c r="CR19" s="90"/>
      <c r="CS19" s="88">
        <v>105</v>
      </c>
      <c r="CT19" s="90"/>
      <c r="CU19" s="88">
        <v>1305</v>
      </c>
      <c r="CV19" s="90"/>
      <c r="CW19" s="151" t="s">
        <v>327</v>
      </c>
      <c r="CX19" s="151"/>
      <c r="CY19" s="151"/>
      <c r="CZ19" s="151"/>
      <c r="DA19" s="151"/>
      <c r="DB19" s="88" t="s">
        <v>321</v>
      </c>
      <c r="DC19" s="89"/>
      <c r="DD19" s="90"/>
      <c r="DE19" s="142" t="s">
        <v>296</v>
      </c>
      <c r="DF19" s="143"/>
      <c r="DG19" s="143"/>
      <c r="DH19" s="143"/>
      <c r="DI19" s="144"/>
      <c r="DJ19" s="142" t="s">
        <v>297</v>
      </c>
      <c r="DK19" s="143"/>
      <c r="DL19" s="143"/>
      <c r="DM19" s="143"/>
      <c r="DN19" s="143"/>
      <c r="DQ19" s="146" t="s">
        <v>306</v>
      </c>
      <c r="DR19" s="161"/>
      <c r="DS19" s="88" t="s">
        <v>28</v>
      </c>
      <c r="DT19" s="90"/>
      <c r="DU19" s="88">
        <v>105</v>
      </c>
      <c r="DV19" s="90"/>
      <c r="DW19" s="88">
        <v>1405</v>
      </c>
      <c r="DX19" s="90"/>
      <c r="DY19" s="151" t="s">
        <v>328</v>
      </c>
      <c r="DZ19" s="151"/>
      <c r="EA19" s="151"/>
      <c r="EB19" s="151"/>
      <c r="EC19" s="151"/>
      <c r="ED19" s="88" t="s">
        <v>322</v>
      </c>
      <c r="EE19" s="89"/>
      <c r="EF19" s="90"/>
      <c r="EG19" s="142" t="s">
        <v>296</v>
      </c>
      <c r="EH19" s="143"/>
      <c r="EI19" s="143"/>
      <c r="EJ19" s="143"/>
      <c r="EK19" s="144"/>
      <c r="EL19" s="142" t="s">
        <v>297</v>
      </c>
      <c r="EM19" s="143"/>
      <c r="EN19" s="143"/>
      <c r="EO19" s="143"/>
      <c r="EP19" s="143"/>
      <c r="ES19" s="152" t="s">
        <v>308</v>
      </c>
      <c r="ET19" s="153"/>
      <c r="EU19" s="154" t="s">
        <v>28</v>
      </c>
      <c r="EV19" s="153"/>
      <c r="EW19" s="154">
        <v>104</v>
      </c>
      <c r="EX19" s="153"/>
      <c r="EY19" s="154">
        <v>1504</v>
      </c>
      <c r="EZ19" s="153"/>
      <c r="FA19" s="155" t="s">
        <v>402</v>
      </c>
      <c r="FB19" s="156"/>
      <c r="FC19" s="156"/>
      <c r="FD19" s="156"/>
      <c r="FE19" s="157"/>
      <c r="FF19" s="154" t="s">
        <v>308</v>
      </c>
      <c r="FG19" s="152"/>
      <c r="FH19" s="153"/>
      <c r="FI19" s="154" t="s">
        <v>310</v>
      </c>
      <c r="FJ19" s="152"/>
      <c r="FK19" s="152"/>
      <c r="FL19" s="152"/>
      <c r="FM19" s="153"/>
      <c r="FN19" s="152" t="s">
        <v>297</v>
      </c>
      <c r="FO19" s="152"/>
      <c r="FP19" s="152"/>
      <c r="FQ19" s="152"/>
      <c r="FR19" s="152"/>
    </row>
    <row r="20" spans="2:174">
      <c r="B20" s="127" t="s">
        <v>293</v>
      </c>
      <c r="C20" s="177"/>
      <c r="D20" s="190" t="s">
        <v>28</v>
      </c>
      <c r="E20" s="177"/>
      <c r="F20" s="190">
        <v>106</v>
      </c>
      <c r="G20" s="177"/>
      <c r="H20" s="190">
        <v>1006</v>
      </c>
      <c r="I20" s="177"/>
      <c r="J20" s="74" t="s">
        <v>501</v>
      </c>
      <c r="K20" s="74"/>
      <c r="L20" s="74"/>
      <c r="M20" s="74"/>
      <c r="N20" s="74"/>
      <c r="O20" s="190" t="s">
        <v>295</v>
      </c>
      <c r="P20" s="127"/>
      <c r="Q20" s="177"/>
      <c r="R20" s="168" t="s">
        <v>296</v>
      </c>
      <c r="S20" s="122"/>
      <c r="T20" s="122"/>
      <c r="U20" s="122"/>
      <c r="V20" s="169"/>
      <c r="W20" s="168" t="s">
        <v>297</v>
      </c>
      <c r="X20" s="122"/>
      <c r="Y20" s="122"/>
      <c r="Z20" s="122"/>
      <c r="AA20" s="122"/>
      <c r="AJ20" s="70" t="s">
        <v>298</v>
      </c>
      <c r="AK20" s="71"/>
      <c r="AL20" s="69" t="s">
        <v>25</v>
      </c>
      <c r="AM20" s="71"/>
      <c r="AN20" s="69" t="s">
        <v>337</v>
      </c>
      <c r="AO20" s="71"/>
      <c r="AP20" s="69" t="s">
        <v>338</v>
      </c>
      <c r="AQ20" s="71"/>
      <c r="AR20" s="74" t="s">
        <v>313</v>
      </c>
      <c r="AS20" s="74"/>
      <c r="AT20" s="74"/>
      <c r="AU20" s="74"/>
      <c r="AV20" s="74"/>
      <c r="AW20" s="69" t="s">
        <v>334</v>
      </c>
      <c r="AX20" s="70"/>
      <c r="AY20" s="71"/>
      <c r="AZ20" s="145" t="s">
        <v>296</v>
      </c>
      <c r="BA20" s="146"/>
      <c r="BB20" s="146"/>
      <c r="BC20" s="146"/>
      <c r="BD20" s="147"/>
      <c r="BE20" s="145" t="s">
        <v>300</v>
      </c>
      <c r="BF20" s="146"/>
      <c r="BG20" s="146"/>
      <c r="BH20" s="146"/>
      <c r="BI20" s="147"/>
      <c r="BJ20" s="50"/>
      <c r="BL20" s="159" t="s">
        <v>301</v>
      </c>
      <c r="BM20" s="180"/>
      <c r="BN20" s="148" t="s">
        <v>28</v>
      </c>
      <c r="BO20" s="150"/>
      <c r="BP20" s="148">
        <v>106</v>
      </c>
      <c r="BQ20" s="150"/>
      <c r="BR20" s="148">
        <v>1206</v>
      </c>
      <c r="BS20" s="150"/>
      <c r="BT20" s="162" t="s">
        <v>339</v>
      </c>
      <c r="BU20" s="162"/>
      <c r="BV20" s="162"/>
      <c r="BW20" s="162"/>
      <c r="BX20" s="162"/>
      <c r="BY20" s="148" t="s">
        <v>320</v>
      </c>
      <c r="BZ20" s="149"/>
      <c r="CA20" s="150"/>
      <c r="CB20" s="158" t="s">
        <v>296</v>
      </c>
      <c r="CC20" s="159"/>
      <c r="CD20" s="159"/>
      <c r="CE20" s="159"/>
      <c r="CF20" s="160"/>
      <c r="CG20" s="158" t="s">
        <v>297</v>
      </c>
      <c r="CH20" s="159"/>
      <c r="CI20" s="159"/>
      <c r="CJ20" s="159"/>
      <c r="CK20" s="159"/>
      <c r="CO20" s="146"/>
      <c r="CP20" s="161"/>
      <c r="CQ20" s="69"/>
      <c r="CR20" s="71"/>
      <c r="CS20" s="69"/>
      <c r="CT20" s="71"/>
      <c r="CU20" s="69"/>
      <c r="CV20" s="71"/>
      <c r="CW20" s="196"/>
      <c r="CX20" s="196"/>
      <c r="CY20" s="196"/>
      <c r="CZ20" s="196"/>
      <c r="DA20" s="196"/>
      <c r="DB20" s="69"/>
      <c r="DC20" s="70"/>
      <c r="DD20" s="71"/>
      <c r="DE20" s="145"/>
      <c r="DF20" s="146"/>
      <c r="DG20" s="146"/>
      <c r="DH20" s="146"/>
      <c r="DI20" s="146"/>
      <c r="DJ20" s="145"/>
      <c r="DK20" s="146"/>
      <c r="DL20" s="146"/>
      <c r="DM20" s="146"/>
      <c r="DN20" s="146"/>
      <c r="DQ20" s="146"/>
      <c r="DR20" s="161"/>
      <c r="DS20" s="69"/>
      <c r="DT20" s="71"/>
      <c r="DU20" s="69"/>
      <c r="DV20" s="71"/>
      <c r="DW20" s="69"/>
      <c r="DX20" s="71"/>
      <c r="DY20" s="187"/>
      <c r="DZ20" s="187"/>
      <c r="EA20" s="187"/>
      <c r="EB20" s="187"/>
      <c r="EC20" s="187"/>
      <c r="ED20" s="69"/>
      <c r="EE20" s="70"/>
      <c r="EF20" s="71"/>
      <c r="EG20" s="145"/>
      <c r="EH20" s="146"/>
      <c r="EI20" s="146"/>
      <c r="EJ20" s="146"/>
      <c r="EK20" s="146"/>
      <c r="EL20" s="145"/>
      <c r="EM20" s="146"/>
      <c r="EN20" s="146"/>
      <c r="EO20" s="146"/>
      <c r="EP20" s="146"/>
      <c r="ES20" s="152" t="s">
        <v>308</v>
      </c>
      <c r="ET20" s="153"/>
      <c r="EU20" s="154" t="s">
        <v>28</v>
      </c>
      <c r="EV20" s="153"/>
      <c r="EW20" s="154">
        <v>105</v>
      </c>
      <c r="EX20" s="153"/>
      <c r="EY20" s="154">
        <v>1505</v>
      </c>
      <c r="EZ20" s="153"/>
      <c r="FA20" s="155" t="s">
        <v>402</v>
      </c>
      <c r="FB20" s="156"/>
      <c r="FC20" s="156"/>
      <c r="FD20" s="156"/>
      <c r="FE20" s="157"/>
      <c r="FF20" s="154" t="s">
        <v>308</v>
      </c>
      <c r="FG20" s="152"/>
      <c r="FH20" s="153"/>
      <c r="FI20" s="154" t="s">
        <v>310</v>
      </c>
      <c r="FJ20" s="152"/>
      <c r="FK20" s="152"/>
      <c r="FL20" s="152"/>
      <c r="FM20" s="153"/>
      <c r="FN20" s="152" t="s">
        <v>297</v>
      </c>
      <c r="FO20" s="152"/>
      <c r="FP20" s="152"/>
      <c r="FQ20" s="152"/>
      <c r="FR20" s="152"/>
    </row>
    <row r="21" spans="2:174">
      <c r="B21" s="70" t="s">
        <v>293</v>
      </c>
      <c r="C21" s="71"/>
      <c r="D21" s="69" t="s">
        <v>28</v>
      </c>
      <c r="E21" s="71"/>
      <c r="F21" s="69">
        <v>107</v>
      </c>
      <c r="G21" s="71"/>
      <c r="H21" s="69">
        <v>1007</v>
      </c>
      <c r="I21" s="71"/>
      <c r="J21" s="74" t="s">
        <v>501</v>
      </c>
      <c r="K21" s="74"/>
      <c r="L21" s="74"/>
      <c r="M21" s="74"/>
      <c r="N21" s="74"/>
      <c r="O21" s="69" t="s">
        <v>295</v>
      </c>
      <c r="P21" s="70"/>
      <c r="Q21" s="71"/>
      <c r="R21" s="145" t="s">
        <v>296</v>
      </c>
      <c r="S21" s="146"/>
      <c r="T21" s="146"/>
      <c r="U21" s="146"/>
      <c r="V21" s="147"/>
      <c r="W21" s="145" t="s">
        <v>297</v>
      </c>
      <c r="X21" s="146"/>
      <c r="Y21" s="146"/>
      <c r="Z21" s="146"/>
      <c r="AA21" s="146"/>
      <c r="AJ21" s="89" t="s">
        <v>298</v>
      </c>
      <c r="AK21" s="90"/>
      <c r="AL21" s="88" t="s">
        <v>25</v>
      </c>
      <c r="AM21" s="90"/>
      <c r="AN21" s="88" t="s">
        <v>340</v>
      </c>
      <c r="AO21" s="90"/>
      <c r="AP21" s="88" t="s">
        <v>341</v>
      </c>
      <c r="AQ21" s="90"/>
      <c r="AR21" s="151" t="s">
        <v>315</v>
      </c>
      <c r="AS21" s="151"/>
      <c r="AT21" s="151"/>
      <c r="AU21" s="151"/>
      <c r="AV21" s="151"/>
      <c r="AW21" s="88" t="s">
        <v>334</v>
      </c>
      <c r="AX21" s="89"/>
      <c r="AY21" s="90"/>
      <c r="AZ21" s="142" t="s">
        <v>296</v>
      </c>
      <c r="BA21" s="143"/>
      <c r="BB21" s="143"/>
      <c r="BC21" s="143"/>
      <c r="BD21" s="144"/>
      <c r="BE21" s="142" t="s">
        <v>300</v>
      </c>
      <c r="BF21" s="143"/>
      <c r="BG21" s="143"/>
      <c r="BH21" s="143"/>
      <c r="BI21" s="144"/>
      <c r="BJ21" s="50"/>
      <c r="BL21" s="146" t="s">
        <v>301</v>
      </c>
      <c r="BM21" s="161"/>
      <c r="BN21" s="69" t="s">
        <v>28</v>
      </c>
      <c r="BO21" s="71"/>
      <c r="BP21" s="69">
        <v>107</v>
      </c>
      <c r="BQ21" s="71"/>
      <c r="BR21" s="69">
        <v>1207</v>
      </c>
      <c r="BS21" s="71"/>
      <c r="BT21" s="74" t="s">
        <v>339</v>
      </c>
      <c r="BU21" s="74"/>
      <c r="BV21" s="74"/>
      <c r="BW21" s="74"/>
      <c r="BX21" s="74"/>
      <c r="BY21" s="69" t="s">
        <v>320</v>
      </c>
      <c r="BZ21" s="70"/>
      <c r="CA21" s="71"/>
      <c r="CB21" s="145" t="s">
        <v>296</v>
      </c>
      <c r="CC21" s="146"/>
      <c r="CD21" s="146"/>
      <c r="CE21" s="146"/>
      <c r="CF21" s="147"/>
      <c r="CG21" s="145" t="s">
        <v>297</v>
      </c>
      <c r="CH21" s="146"/>
      <c r="CI21" s="146"/>
      <c r="CJ21" s="146"/>
      <c r="CK21" s="146"/>
      <c r="CO21" s="146"/>
      <c r="CP21" s="161"/>
      <c r="CQ21" s="69"/>
      <c r="CR21" s="71"/>
      <c r="CS21" s="69"/>
      <c r="CT21" s="71"/>
      <c r="CU21" s="69"/>
      <c r="CV21" s="71"/>
      <c r="CW21" s="74"/>
      <c r="CX21" s="74"/>
      <c r="CY21" s="74"/>
      <c r="CZ21" s="74"/>
      <c r="DA21" s="74"/>
      <c r="DB21" s="69"/>
      <c r="DC21" s="70"/>
      <c r="DD21" s="71"/>
      <c r="DE21" s="145"/>
      <c r="DF21" s="146"/>
      <c r="DG21" s="146"/>
      <c r="DH21" s="146"/>
      <c r="DI21" s="146"/>
      <c r="DJ21" s="145"/>
      <c r="DK21" s="146"/>
      <c r="DL21" s="146"/>
      <c r="DM21" s="146"/>
      <c r="DN21" s="146"/>
      <c r="DQ21" s="146"/>
      <c r="DR21" s="161"/>
      <c r="DS21" s="69"/>
      <c r="DT21" s="71"/>
      <c r="DU21" s="69"/>
      <c r="DV21" s="71"/>
      <c r="DW21" s="69"/>
      <c r="DX21" s="71"/>
      <c r="DY21" s="176"/>
      <c r="DZ21" s="176"/>
      <c r="EA21" s="176"/>
      <c r="EB21" s="176"/>
      <c r="EC21" s="176"/>
      <c r="ED21" s="69"/>
      <c r="EE21" s="70"/>
      <c r="EF21" s="71"/>
      <c r="EG21" s="145"/>
      <c r="EH21" s="146"/>
      <c r="EI21" s="146"/>
      <c r="EJ21" s="146"/>
      <c r="EK21" s="146"/>
      <c r="EL21" s="145"/>
      <c r="EM21" s="146"/>
      <c r="EN21" s="146"/>
      <c r="EO21" s="146"/>
      <c r="EP21" s="146"/>
      <c r="ES21" s="152" t="s">
        <v>308</v>
      </c>
      <c r="ET21" s="153"/>
      <c r="EU21" s="154" t="s">
        <v>28</v>
      </c>
      <c r="EV21" s="153"/>
      <c r="EW21" s="154">
        <v>106</v>
      </c>
      <c r="EX21" s="153"/>
      <c r="EY21" s="154">
        <v>1506</v>
      </c>
      <c r="EZ21" s="153"/>
      <c r="FA21" s="155" t="s">
        <v>402</v>
      </c>
      <c r="FB21" s="156"/>
      <c r="FC21" s="156"/>
      <c r="FD21" s="156"/>
      <c r="FE21" s="157"/>
      <c r="FF21" s="154" t="s">
        <v>308</v>
      </c>
      <c r="FG21" s="152"/>
      <c r="FH21" s="153"/>
      <c r="FI21" s="154" t="s">
        <v>310</v>
      </c>
      <c r="FJ21" s="152"/>
      <c r="FK21" s="152"/>
      <c r="FL21" s="152"/>
      <c r="FM21" s="153"/>
      <c r="FN21" s="152" t="s">
        <v>297</v>
      </c>
      <c r="FO21" s="152"/>
      <c r="FP21" s="152"/>
      <c r="FQ21" s="152"/>
      <c r="FR21" s="152"/>
    </row>
    <row r="22" spans="2:174">
      <c r="B22" s="70" t="s">
        <v>293</v>
      </c>
      <c r="C22" s="71"/>
      <c r="D22" s="69" t="s">
        <v>28</v>
      </c>
      <c r="E22" s="71"/>
      <c r="F22" s="69">
        <v>108</v>
      </c>
      <c r="G22" s="71"/>
      <c r="H22" s="69">
        <v>1008</v>
      </c>
      <c r="I22" s="71"/>
      <c r="J22" s="74" t="s">
        <v>501</v>
      </c>
      <c r="K22" s="74"/>
      <c r="L22" s="74"/>
      <c r="M22" s="74"/>
      <c r="N22" s="74"/>
      <c r="O22" s="69" t="s">
        <v>295</v>
      </c>
      <c r="P22" s="70"/>
      <c r="Q22" s="71"/>
      <c r="R22" s="145" t="s">
        <v>296</v>
      </c>
      <c r="S22" s="146"/>
      <c r="T22" s="146"/>
      <c r="U22" s="146"/>
      <c r="V22" s="147"/>
      <c r="W22" s="145" t="s">
        <v>297</v>
      </c>
      <c r="X22" s="146"/>
      <c r="Y22" s="146"/>
      <c r="Z22" s="146"/>
      <c r="AA22" s="146"/>
      <c r="AJ22" s="149" t="s">
        <v>298</v>
      </c>
      <c r="AK22" s="150"/>
      <c r="AL22" s="148" t="s">
        <v>28</v>
      </c>
      <c r="AM22" s="150"/>
      <c r="AN22" s="148">
        <v>100</v>
      </c>
      <c r="AO22" s="150"/>
      <c r="AP22" s="148">
        <v>1100</v>
      </c>
      <c r="AQ22" s="150"/>
      <c r="AR22" s="162" t="s">
        <v>342</v>
      </c>
      <c r="AS22" s="162"/>
      <c r="AT22" s="162"/>
      <c r="AU22" s="162"/>
      <c r="AV22" s="162"/>
      <c r="AW22" s="148" t="s">
        <v>299</v>
      </c>
      <c r="AX22" s="149"/>
      <c r="AY22" s="150"/>
      <c r="AZ22" s="158" t="s">
        <v>296</v>
      </c>
      <c r="BA22" s="159"/>
      <c r="BB22" s="159"/>
      <c r="BC22" s="159"/>
      <c r="BD22" s="160"/>
      <c r="BE22" s="158" t="s">
        <v>300</v>
      </c>
      <c r="BF22" s="159"/>
      <c r="BG22" s="159"/>
      <c r="BH22" s="159"/>
      <c r="BI22" s="160"/>
      <c r="BJ22" s="50"/>
      <c r="BL22" s="146" t="s">
        <v>301</v>
      </c>
      <c r="BM22" s="161"/>
      <c r="BN22" s="69" t="s">
        <v>28</v>
      </c>
      <c r="BO22" s="71"/>
      <c r="BP22" s="69">
        <v>108</v>
      </c>
      <c r="BQ22" s="71"/>
      <c r="BR22" s="69">
        <v>1208</v>
      </c>
      <c r="BS22" s="71"/>
      <c r="BT22" s="74" t="s">
        <v>339</v>
      </c>
      <c r="BU22" s="74"/>
      <c r="BV22" s="74"/>
      <c r="BW22" s="74"/>
      <c r="BX22" s="74"/>
      <c r="BY22" s="69" t="s">
        <v>320</v>
      </c>
      <c r="BZ22" s="70"/>
      <c r="CA22" s="71"/>
      <c r="CB22" s="145" t="s">
        <v>296</v>
      </c>
      <c r="CC22" s="146"/>
      <c r="CD22" s="146"/>
      <c r="CE22" s="146"/>
      <c r="CF22" s="147"/>
      <c r="CG22" s="145" t="s">
        <v>297</v>
      </c>
      <c r="CH22" s="146"/>
      <c r="CI22" s="146"/>
      <c r="CJ22" s="146"/>
      <c r="CK22" s="146"/>
      <c r="CO22" s="146"/>
      <c r="CP22" s="161"/>
      <c r="CQ22" s="69"/>
      <c r="CR22" s="71"/>
      <c r="CS22" s="69"/>
      <c r="CT22" s="71"/>
      <c r="CU22" s="69"/>
      <c r="CV22" s="71"/>
      <c r="CW22" s="74"/>
      <c r="CX22" s="74"/>
      <c r="CY22" s="74"/>
      <c r="CZ22" s="74"/>
      <c r="DA22" s="74"/>
      <c r="DB22" s="191"/>
      <c r="DC22" s="200"/>
      <c r="DD22" s="192"/>
      <c r="DE22" s="145"/>
      <c r="DF22" s="146"/>
      <c r="DG22" s="146"/>
      <c r="DH22" s="146"/>
      <c r="DI22" s="146"/>
      <c r="DJ22" s="145"/>
      <c r="DK22" s="146"/>
      <c r="DL22" s="146"/>
      <c r="DM22" s="146"/>
      <c r="DN22" s="146"/>
      <c r="DQ22" s="146"/>
      <c r="DR22" s="161"/>
      <c r="DS22" s="69"/>
      <c r="DT22" s="71"/>
      <c r="DU22" s="69"/>
      <c r="DV22" s="71"/>
      <c r="DW22" s="69"/>
      <c r="DX22" s="71"/>
      <c r="DY22" s="176"/>
      <c r="DZ22" s="176"/>
      <c r="EA22" s="176"/>
      <c r="EB22" s="176"/>
      <c r="EC22" s="176"/>
      <c r="ED22" s="191"/>
      <c r="EE22" s="200"/>
      <c r="EF22" s="192"/>
      <c r="EG22" s="145"/>
      <c r="EH22" s="146"/>
      <c r="EI22" s="146"/>
      <c r="EJ22" s="146"/>
      <c r="EK22" s="146"/>
      <c r="EL22" s="145"/>
      <c r="EM22" s="146"/>
      <c r="EN22" s="146"/>
      <c r="EO22" s="146"/>
      <c r="EP22" s="146"/>
      <c r="ES22" s="152" t="s">
        <v>308</v>
      </c>
      <c r="ET22" s="153"/>
      <c r="EU22" s="154" t="s">
        <v>28</v>
      </c>
      <c r="EV22" s="153"/>
      <c r="EW22" s="154">
        <v>107</v>
      </c>
      <c r="EX22" s="153"/>
      <c r="EY22" s="154">
        <v>1507</v>
      </c>
      <c r="EZ22" s="153"/>
      <c r="FA22" s="155" t="s">
        <v>402</v>
      </c>
      <c r="FB22" s="156"/>
      <c r="FC22" s="156"/>
      <c r="FD22" s="156"/>
      <c r="FE22" s="157"/>
      <c r="FF22" s="154" t="s">
        <v>308</v>
      </c>
      <c r="FG22" s="152"/>
      <c r="FH22" s="153"/>
      <c r="FI22" s="154" t="s">
        <v>310</v>
      </c>
      <c r="FJ22" s="152"/>
      <c r="FK22" s="152"/>
      <c r="FL22" s="152"/>
      <c r="FM22" s="153"/>
      <c r="FN22" s="152" t="s">
        <v>297</v>
      </c>
      <c r="FO22" s="152"/>
      <c r="FP22" s="152"/>
      <c r="FQ22" s="152"/>
      <c r="FR22" s="152"/>
    </row>
    <row r="23" spans="2:174">
      <c r="B23" s="89" t="s">
        <v>293</v>
      </c>
      <c r="C23" s="90"/>
      <c r="D23" s="88" t="s">
        <v>28</v>
      </c>
      <c r="E23" s="90"/>
      <c r="F23" s="88">
        <v>109</v>
      </c>
      <c r="G23" s="90"/>
      <c r="H23" s="88">
        <v>1009</v>
      </c>
      <c r="I23" s="90"/>
      <c r="J23" s="151" t="s">
        <v>501</v>
      </c>
      <c r="K23" s="151"/>
      <c r="L23" s="151"/>
      <c r="M23" s="151"/>
      <c r="N23" s="151"/>
      <c r="O23" s="88" t="s">
        <v>295</v>
      </c>
      <c r="P23" s="89"/>
      <c r="Q23" s="90"/>
      <c r="R23" s="142" t="s">
        <v>296</v>
      </c>
      <c r="S23" s="143"/>
      <c r="T23" s="143"/>
      <c r="U23" s="143"/>
      <c r="V23" s="144"/>
      <c r="W23" s="142" t="s">
        <v>297</v>
      </c>
      <c r="X23" s="143"/>
      <c r="Y23" s="143"/>
      <c r="Z23" s="143"/>
      <c r="AA23" s="143"/>
      <c r="AJ23" s="70" t="s">
        <v>298</v>
      </c>
      <c r="AK23" s="71"/>
      <c r="AL23" s="69" t="s">
        <v>28</v>
      </c>
      <c r="AM23" s="71"/>
      <c r="AN23" s="69">
        <v>101</v>
      </c>
      <c r="AO23" s="71"/>
      <c r="AP23" s="69">
        <v>1101</v>
      </c>
      <c r="AQ23" s="71"/>
      <c r="AR23" s="74" t="s">
        <v>342</v>
      </c>
      <c r="AS23" s="74"/>
      <c r="AT23" s="74"/>
      <c r="AU23" s="74"/>
      <c r="AV23" s="74"/>
      <c r="AW23" s="69" t="s">
        <v>299</v>
      </c>
      <c r="AX23" s="70"/>
      <c r="AY23" s="71"/>
      <c r="AZ23" s="145" t="s">
        <v>296</v>
      </c>
      <c r="BA23" s="146"/>
      <c r="BB23" s="146"/>
      <c r="BC23" s="146"/>
      <c r="BD23" s="147"/>
      <c r="BE23" s="145" t="s">
        <v>300</v>
      </c>
      <c r="BF23" s="146"/>
      <c r="BG23" s="146"/>
      <c r="BH23" s="146"/>
      <c r="BI23" s="147"/>
      <c r="BJ23" s="50"/>
      <c r="BL23" s="146" t="s">
        <v>301</v>
      </c>
      <c r="BM23" s="161"/>
      <c r="BN23" s="69" t="s">
        <v>28</v>
      </c>
      <c r="BO23" s="71"/>
      <c r="BP23" s="69">
        <v>109</v>
      </c>
      <c r="BQ23" s="71"/>
      <c r="BR23" s="69">
        <v>1209</v>
      </c>
      <c r="BS23" s="71"/>
      <c r="BT23" s="74" t="s">
        <v>339</v>
      </c>
      <c r="BU23" s="74"/>
      <c r="BV23" s="74"/>
      <c r="BW23" s="74"/>
      <c r="BX23" s="74"/>
      <c r="BY23" s="69" t="s">
        <v>320</v>
      </c>
      <c r="BZ23" s="70"/>
      <c r="CA23" s="71"/>
      <c r="CB23" s="145" t="s">
        <v>296</v>
      </c>
      <c r="CC23" s="146"/>
      <c r="CD23" s="146"/>
      <c r="CE23" s="146"/>
      <c r="CF23" s="147"/>
      <c r="CG23" s="145" t="s">
        <v>297</v>
      </c>
      <c r="CH23" s="146"/>
      <c r="CI23" s="146"/>
      <c r="CJ23" s="146"/>
      <c r="CK23" s="146"/>
      <c r="CO23" s="146"/>
      <c r="CP23" s="161"/>
      <c r="CQ23" s="69"/>
      <c r="CR23" s="71"/>
      <c r="CS23" s="69"/>
      <c r="CT23" s="71"/>
      <c r="CU23" s="69"/>
      <c r="CV23" s="71"/>
      <c r="CW23" s="74"/>
      <c r="CX23" s="74"/>
      <c r="CY23" s="74"/>
      <c r="CZ23" s="74"/>
      <c r="DA23" s="74"/>
      <c r="DB23" s="69"/>
      <c r="DC23" s="70"/>
      <c r="DD23" s="71"/>
      <c r="DE23" s="145"/>
      <c r="DF23" s="146"/>
      <c r="DG23" s="146"/>
      <c r="DH23" s="146"/>
      <c r="DI23" s="146"/>
      <c r="DJ23" s="145"/>
      <c r="DK23" s="146"/>
      <c r="DL23" s="146"/>
      <c r="DM23" s="146"/>
      <c r="DN23" s="146"/>
      <c r="DQ23" s="146"/>
      <c r="DR23" s="161"/>
      <c r="DS23" s="69"/>
      <c r="DT23" s="71"/>
      <c r="DU23" s="69"/>
      <c r="DV23" s="71"/>
      <c r="DW23" s="69"/>
      <c r="DX23" s="71"/>
      <c r="DY23" s="176"/>
      <c r="DZ23" s="176"/>
      <c r="EA23" s="176"/>
      <c r="EB23" s="176"/>
      <c r="EC23" s="176"/>
      <c r="ED23" s="69"/>
      <c r="EE23" s="70"/>
      <c r="EF23" s="71"/>
      <c r="EG23" s="145"/>
      <c r="EH23" s="146"/>
      <c r="EI23" s="146"/>
      <c r="EJ23" s="146"/>
      <c r="EK23" s="146"/>
      <c r="EL23" s="145"/>
      <c r="EM23" s="146"/>
      <c r="EN23" s="146"/>
      <c r="EO23" s="146"/>
      <c r="EP23" s="146"/>
      <c r="ES23" s="152" t="s">
        <v>308</v>
      </c>
      <c r="ET23" s="153"/>
      <c r="EU23" s="154" t="s">
        <v>28</v>
      </c>
      <c r="EV23" s="153"/>
      <c r="EW23" s="154">
        <v>108</v>
      </c>
      <c r="EX23" s="153"/>
      <c r="EY23" s="154">
        <v>1508</v>
      </c>
      <c r="EZ23" s="153"/>
      <c r="FA23" s="155" t="s">
        <v>402</v>
      </c>
      <c r="FB23" s="156"/>
      <c r="FC23" s="156"/>
      <c r="FD23" s="156"/>
      <c r="FE23" s="157"/>
      <c r="FF23" s="154" t="s">
        <v>308</v>
      </c>
      <c r="FG23" s="152"/>
      <c r="FH23" s="153"/>
      <c r="FI23" s="154" t="s">
        <v>310</v>
      </c>
      <c r="FJ23" s="152"/>
      <c r="FK23" s="152"/>
      <c r="FL23" s="152"/>
      <c r="FM23" s="153"/>
      <c r="FN23" s="152" t="s">
        <v>297</v>
      </c>
      <c r="FO23" s="152"/>
      <c r="FP23" s="152"/>
      <c r="FQ23" s="152"/>
      <c r="FR23" s="152"/>
    </row>
    <row r="24" spans="2:174">
      <c r="B24" s="149" t="s">
        <v>293</v>
      </c>
      <c r="C24" s="150"/>
      <c r="D24" s="148" t="s">
        <v>28</v>
      </c>
      <c r="E24" s="150"/>
      <c r="F24" s="148" t="s">
        <v>513</v>
      </c>
      <c r="G24" s="150"/>
      <c r="H24" s="148" t="s">
        <v>502</v>
      </c>
      <c r="I24" s="150"/>
      <c r="J24" s="162" t="s">
        <v>523</v>
      </c>
      <c r="K24" s="162"/>
      <c r="L24" s="162"/>
      <c r="M24" s="162"/>
      <c r="N24" s="162"/>
      <c r="O24" s="148" t="s">
        <v>318</v>
      </c>
      <c r="P24" s="149"/>
      <c r="Q24" s="150"/>
      <c r="R24" s="158" t="s">
        <v>296</v>
      </c>
      <c r="S24" s="159"/>
      <c r="T24" s="159"/>
      <c r="U24" s="159"/>
      <c r="V24" s="160"/>
      <c r="W24" s="158" t="s">
        <v>297</v>
      </c>
      <c r="X24" s="159"/>
      <c r="Y24" s="159"/>
      <c r="Z24" s="159"/>
      <c r="AA24" s="159"/>
      <c r="AJ24" s="70" t="s">
        <v>298</v>
      </c>
      <c r="AK24" s="71"/>
      <c r="AL24" s="69" t="s">
        <v>28</v>
      </c>
      <c r="AM24" s="71"/>
      <c r="AN24" s="69">
        <v>102</v>
      </c>
      <c r="AO24" s="71"/>
      <c r="AP24" s="69">
        <v>1102</v>
      </c>
      <c r="AQ24" s="71"/>
      <c r="AR24" s="74" t="s">
        <v>342</v>
      </c>
      <c r="AS24" s="74"/>
      <c r="AT24" s="74"/>
      <c r="AU24" s="74"/>
      <c r="AV24" s="74"/>
      <c r="AW24" s="69" t="s">
        <v>299</v>
      </c>
      <c r="AX24" s="70"/>
      <c r="AY24" s="71"/>
      <c r="AZ24" s="145" t="s">
        <v>296</v>
      </c>
      <c r="BA24" s="146"/>
      <c r="BB24" s="146"/>
      <c r="BC24" s="146"/>
      <c r="BD24" s="147"/>
      <c r="BE24" s="145" t="s">
        <v>300</v>
      </c>
      <c r="BF24" s="146"/>
      <c r="BG24" s="146"/>
      <c r="BH24" s="146"/>
      <c r="BI24" s="147"/>
      <c r="BJ24" s="50"/>
      <c r="BL24" s="146" t="s">
        <v>301</v>
      </c>
      <c r="BM24" s="161"/>
      <c r="BN24" s="69" t="s">
        <v>28</v>
      </c>
      <c r="BO24" s="71"/>
      <c r="BP24" s="69" t="s">
        <v>343</v>
      </c>
      <c r="BQ24" s="71"/>
      <c r="BR24" s="69" t="s">
        <v>345</v>
      </c>
      <c r="BS24" s="71"/>
      <c r="BT24" s="74" t="s">
        <v>339</v>
      </c>
      <c r="BU24" s="74"/>
      <c r="BV24" s="74"/>
      <c r="BW24" s="74"/>
      <c r="BX24" s="74"/>
      <c r="BY24" s="69" t="s">
        <v>320</v>
      </c>
      <c r="BZ24" s="70"/>
      <c r="CA24" s="71"/>
      <c r="CB24" s="145" t="s">
        <v>296</v>
      </c>
      <c r="CC24" s="146"/>
      <c r="CD24" s="146"/>
      <c r="CE24" s="146"/>
      <c r="CF24" s="147"/>
      <c r="CG24" s="145" t="s">
        <v>297</v>
      </c>
      <c r="CH24" s="146"/>
      <c r="CI24" s="146"/>
      <c r="CJ24" s="146"/>
      <c r="CK24" s="146"/>
      <c r="CO24" s="146"/>
      <c r="CP24" s="161"/>
      <c r="CQ24" s="69" t="s">
        <v>346</v>
      </c>
      <c r="CR24" s="71"/>
      <c r="CS24" s="69"/>
      <c r="CT24" s="71"/>
      <c r="CU24" s="69"/>
      <c r="CV24" s="71"/>
      <c r="CW24" s="74"/>
      <c r="CX24" s="74"/>
      <c r="CY24" s="74"/>
      <c r="CZ24" s="74"/>
      <c r="DA24" s="74"/>
      <c r="DB24" s="69"/>
      <c r="DC24" s="70"/>
      <c r="DD24" s="71"/>
      <c r="DE24" s="145"/>
      <c r="DF24" s="146"/>
      <c r="DG24" s="146"/>
      <c r="DH24" s="146"/>
      <c r="DI24" s="146"/>
      <c r="DJ24" s="145"/>
      <c r="DK24" s="146"/>
      <c r="DL24" s="146"/>
      <c r="DM24" s="146"/>
      <c r="DN24" s="146"/>
      <c r="DQ24" s="146"/>
      <c r="DR24" s="161"/>
      <c r="DS24" s="69"/>
      <c r="DT24" s="71"/>
      <c r="DU24" s="69"/>
      <c r="DV24" s="71"/>
      <c r="DW24" s="69"/>
      <c r="DX24" s="71"/>
      <c r="DY24" s="176"/>
      <c r="DZ24" s="176"/>
      <c r="EA24" s="176"/>
      <c r="EB24" s="176"/>
      <c r="EC24" s="176"/>
      <c r="ED24" s="69"/>
      <c r="EE24" s="70"/>
      <c r="EF24" s="71"/>
      <c r="EG24" s="145"/>
      <c r="EH24" s="146"/>
      <c r="EI24" s="146"/>
      <c r="EJ24" s="146"/>
      <c r="EK24" s="146"/>
      <c r="EL24" s="145"/>
      <c r="EM24" s="146"/>
      <c r="EN24" s="146"/>
      <c r="EO24" s="146"/>
      <c r="EP24" s="146"/>
      <c r="ES24" s="152" t="s">
        <v>308</v>
      </c>
      <c r="ET24" s="153"/>
      <c r="EU24" s="154" t="s">
        <v>28</v>
      </c>
      <c r="EV24" s="153"/>
      <c r="EW24" s="154">
        <v>109</v>
      </c>
      <c r="EX24" s="153"/>
      <c r="EY24" s="154">
        <v>1509</v>
      </c>
      <c r="EZ24" s="153"/>
      <c r="FA24" s="155" t="s">
        <v>402</v>
      </c>
      <c r="FB24" s="156"/>
      <c r="FC24" s="156"/>
      <c r="FD24" s="156"/>
      <c r="FE24" s="157"/>
      <c r="FF24" s="154" t="s">
        <v>308</v>
      </c>
      <c r="FG24" s="152"/>
      <c r="FH24" s="153"/>
      <c r="FI24" s="154" t="s">
        <v>310</v>
      </c>
      <c r="FJ24" s="152"/>
      <c r="FK24" s="152"/>
      <c r="FL24" s="152"/>
      <c r="FM24" s="153"/>
      <c r="FN24" s="152" t="s">
        <v>297</v>
      </c>
      <c r="FO24" s="152"/>
      <c r="FP24" s="152"/>
      <c r="FQ24" s="152"/>
      <c r="FR24" s="152"/>
    </row>
    <row r="25" spans="2:174">
      <c r="B25" s="70" t="s">
        <v>293</v>
      </c>
      <c r="C25" s="71"/>
      <c r="D25" s="69" t="s">
        <v>28</v>
      </c>
      <c r="E25" s="71"/>
      <c r="F25" s="69" t="s">
        <v>514</v>
      </c>
      <c r="G25" s="71"/>
      <c r="H25" s="69" t="s">
        <v>503</v>
      </c>
      <c r="I25" s="71"/>
      <c r="J25" s="196" t="s">
        <v>523</v>
      </c>
      <c r="K25" s="196"/>
      <c r="L25" s="196"/>
      <c r="M25" s="196"/>
      <c r="N25" s="196"/>
      <c r="O25" s="69" t="s">
        <v>318</v>
      </c>
      <c r="P25" s="70"/>
      <c r="Q25" s="71"/>
      <c r="R25" s="165" t="s">
        <v>296</v>
      </c>
      <c r="S25" s="166"/>
      <c r="T25" s="166"/>
      <c r="U25" s="166"/>
      <c r="V25" s="167"/>
      <c r="W25" s="165" t="s">
        <v>297</v>
      </c>
      <c r="X25" s="166"/>
      <c r="Y25" s="166"/>
      <c r="Z25" s="166"/>
      <c r="AA25" s="166"/>
      <c r="AJ25" s="70" t="s">
        <v>298</v>
      </c>
      <c r="AK25" s="71"/>
      <c r="AL25" s="69" t="s">
        <v>28</v>
      </c>
      <c r="AM25" s="71"/>
      <c r="AN25" s="69">
        <v>103</v>
      </c>
      <c r="AO25" s="71"/>
      <c r="AP25" s="69">
        <v>1103</v>
      </c>
      <c r="AQ25" s="71"/>
      <c r="AR25" s="74" t="s">
        <v>342</v>
      </c>
      <c r="AS25" s="74"/>
      <c r="AT25" s="74"/>
      <c r="AU25" s="74"/>
      <c r="AV25" s="74"/>
      <c r="AW25" s="69" t="s">
        <v>299</v>
      </c>
      <c r="AX25" s="70"/>
      <c r="AY25" s="71"/>
      <c r="AZ25" s="145" t="s">
        <v>296</v>
      </c>
      <c r="BA25" s="146"/>
      <c r="BB25" s="146"/>
      <c r="BC25" s="146"/>
      <c r="BD25" s="147"/>
      <c r="BE25" s="145" t="s">
        <v>300</v>
      </c>
      <c r="BF25" s="146"/>
      <c r="BG25" s="146"/>
      <c r="BH25" s="146"/>
      <c r="BI25" s="147"/>
      <c r="BJ25" s="50"/>
      <c r="BL25" s="143" t="s">
        <v>301</v>
      </c>
      <c r="BM25" s="195"/>
      <c r="BN25" s="88" t="s">
        <v>28</v>
      </c>
      <c r="BO25" s="90"/>
      <c r="BP25" s="88" t="s">
        <v>344</v>
      </c>
      <c r="BQ25" s="90"/>
      <c r="BR25" s="88" t="s">
        <v>347</v>
      </c>
      <c r="BS25" s="90"/>
      <c r="BT25" s="151" t="s">
        <v>339</v>
      </c>
      <c r="BU25" s="151"/>
      <c r="BV25" s="151"/>
      <c r="BW25" s="151"/>
      <c r="BX25" s="151"/>
      <c r="BY25" s="88" t="s">
        <v>320</v>
      </c>
      <c r="BZ25" s="89"/>
      <c r="CA25" s="90"/>
      <c r="CB25" s="142" t="s">
        <v>296</v>
      </c>
      <c r="CC25" s="143"/>
      <c r="CD25" s="143"/>
      <c r="CE25" s="143"/>
      <c r="CF25" s="144"/>
      <c r="CG25" s="142" t="s">
        <v>297</v>
      </c>
      <c r="CH25" s="143"/>
      <c r="CI25" s="143"/>
      <c r="CJ25" s="143"/>
      <c r="CK25" s="143"/>
      <c r="CO25" s="146"/>
      <c r="CP25" s="161"/>
      <c r="CQ25" s="69"/>
      <c r="CR25" s="71"/>
      <c r="CS25" s="69"/>
      <c r="CT25" s="71"/>
      <c r="CU25" s="69"/>
      <c r="CV25" s="71"/>
      <c r="CW25" s="201"/>
      <c r="CX25" s="201"/>
      <c r="CY25" s="201"/>
      <c r="CZ25" s="201"/>
      <c r="DA25" s="201"/>
      <c r="DB25" s="69"/>
      <c r="DC25" s="70"/>
      <c r="DD25" s="71"/>
      <c r="DE25" s="145"/>
      <c r="DF25" s="146"/>
      <c r="DG25" s="146"/>
      <c r="DH25" s="146"/>
      <c r="DI25" s="146"/>
      <c r="DJ25" s="145"/>
      <c r="DK25" s="146"/>
      <c r="DL25" s="146"/>
      <c r="DM25" s="146"/>
      <c r="DN25" s="146"/>
      <c r="DQ25" s="146"/>
      <c r="DR25" s="161"/>
      <c r="DS25" s="69"/>
      <c r="DT25" s="71"/>
      <c r="DU25" s="69"/>
      <c r="DV25" s="71"/>
      <c r="DW25" s="69"/>
      <c r="DX25" s="71"/>
      <c r="DY25" s="176"/>
      <c r="DZ25" s="176"/>
      <c r="EA25" s="176"/>
      <c r="EB25" s="176"/>
      <c r="EC25" s="176"/>
      <c r="ED25" s="69"/>
      <c r="EE25" s="70"/>
      <c r="EF25" s="71"/>
      <c r="EG25" s="145"/>
      <c r="EH25" s="146"/>
      <c r="EI25" s="146"/>
      <c r="EJ25" s="146"/>
      <c r="EK25" s="146"/>
      <c r="EL25" s="145"/>
      <c r="EM25" s="146"/>
      <c r="EN25" s="146"/>
      <c r="EO25" s="146"/>
      <c r="EP25" s="146"/>
      <c r="ES25" s="152" t="s">
        <v>308</v>
      </c>
      <c r="ET25" s="153"/>
      <c r="EU25" s="154" t="s">
        <v>28</v>
      </c>
      <c r="EV25" s="153"/>
      <c r="EW25" s="154" t="s">
        <v>343</v>
      </c>
      <c r="EX25" s="153"/>
      <c r="EY25" s="154" t="s">
        <v>330</v>
      </c>
      <c r="EZ25" s="153"/>
      <c r="FA25" s="155" t="s">
        <v>402</v>
      </c>
      <c r="FB25" s="156"/>
      <c r="FC25" s="156"/>
      <c r="FD25" s="156"/>
      <c r="FE25" s="157"/>
      <c r="FF25" s="154" t="s">
        <v>308</v>
      </c>
      <c r="FG25" s="152"/>
      <c r="FH25" s="153"/>
      <c r="FI25" s="154" t="s">
        <v>310</v>
      </c>
      <c r="FJ25" s="152"/>
      <c r="FK25" s="152"/>
      <c r="FL25" s="152"/>
      <c r="FM25" s="153"/>
      <c r="FN25" s="152" t="s">
        <v>297</v>
      </c>
      <c r="FO25" s="152"/>
      <c r="FP25" s="152"/>
      <c r="FQ25" s="152"/>
      <c r="FR25" s="152"/>
    </row>
    <row r="26" spans="2:174">
      <c r="B26" s="70" t="s">
        <v>293</v>
      </c>
      <c r="C26" s="71"/>
      <c r="D26" s="190" t="s">
        <v>28</v>
      </c>
      <c r="E26" s="177"/>
      <c r="F26" s="69" t="s">
        <v>515</v>
      </c>
      <c r="G26" s="71"/>
      <c r="H26" s="190" t="s">
        <v>504</v>
      </c>
      <c r="I26" s="177"/>
      <c r="J26" s="196" t="s">
        <v>523</v>
      </c>
      <c r="K26" s="196"/>
      <c r="L26" s="196"/>
      <c r="M26" s="196"/>
      <c r="N26" s="196"/>
      <c r="O26" s="69" t="s">
        <v>318</v>
      </c>
      <c r="P26" s="70"/>
      <c r="Q26" s="71"/>
      <c r="R26" s="168" t="s">
        <v>296</v>
      </c>
      <c r="S26" s="122"/>
      <c r="T26" s="122"/>
      <c r="U26" s="122"/>
      <c r="V26" s="169"/>
      <c r="W26" s="168" t="s">
        <v>297</v>
      </c>
      <c r="X26" s="122"/>
      <c r="Y26" s="122"/>
      <c r="Z26" s="122"/>
      <c r="AA26" s="122"/>
      <c r="AJ26" s="70" t="s">
        <v>298</v>
      </c>
      <c r="AK26" s="71"/>
      <c r="AL26" s="69" t="s">
        <v>28</v>
      </c>
      <c r="AM26" s="71"/>
      <c r="AN26" s="69">
        <v>104</v>
      </c>
      <c r="AO26" s="71"/>
      <c r="AP26" s="69">
        <v>1104</v>
      </c>
      <c r="AQ26" s="71"/>
      <c r="AR26" s="74" t="s">
        <v>342</v>
      </c>
      <c r="AS26" s="74"/>
      <c r="AT26" s="74"/>
      <c r="AU26" s="74"/>
      <c r="AV26" s="74"/>
      <c r="AW26" s="69" t="s">
        <v>299</v>
      </c>
      <c r="AX26" s="70"/>
      <c r="AY26" s="71"/>
      <c r="AZ26" s="145" t="s">
        <v>296</v>
      </c>
      <c r="BA26" s="146"/>
      <c r="BB26" s="146"/>
      <c r="BC26" s="146"/>
      <c r="BD26" s="147"/>
      <c r="BE26" s="145" t="s">
        <v>300</v>
      </c>
      <c r="BF26" s="146"/>
      <c r="BG26" s="146"/>
      <c r="BH26" s="146"/>
      <c r="BI26" s="147"/>
      <c r="BJ26" s="50"/>
      <c r="BL26" s="122"/>
      <c r="BM26" s="185"/>
      <c r="BN26" s="190"/>
      <c r="BO26" s="177"/>
      <c r="BP26" s="190"/>
      <c r="BQ26" s="177"/>
      <c r="BR26" s="190"/>
      <c r="BS26" s="177"/>
      <c r="BT26" s="187"/>
      <c r="BU26" s="187"/>
      <c r="BV26" s="187"/>
      <c r="BW26" s="187"/>
      <c r="BX26" s="188"/>
      <c r="BY26" s="189"/>
      <c r="BZ26" s="127"/>
      <c r="CA26" s="177"/>
      <c r="CB26" s="168"/>
      <c r="CC26" s="122"/>
      <c r="CD26" s="122"/>
      <c r="CE26" s="122"/>
      <c r="CF26" s="122"/>
      <c r="CG26" s="168"/>
      <c r="CH26" s="122"/>
      <c r="CI26" s="122"/>
      <c r="CJ26" s="122"/>
      <c r="CK26" s="122"/>
      <c r="CO26" s="146"/>
      <c r="CP26" s="161"/>
      <c r="CQ26" s="69"/>
      <c r="CR26" s="71"/>
      <c r="CS26" s="190"/>
      <c r="CT26" s="177"/>
      <c r="CU26" s="69"/>
      <c r="CV26" s="71"/>
      <c r="CW26" s="187"/>
      <c r="CX26" s="187"/>
      <c r="CY26" s="187"/>
      <c r="CZ26" s="187"/>
      <c r="DA26" s="187"/>
      <c r="DB26" s="69"/>
      <c r="DC26" s="70"/>
      <c r="DD26" s="71"/>
      <c r="DE26" s="145"/>
      <c r="DF26" s="146"/>
      <c r="DG26" s="146"/>
      <c r="DH26" s="146"/>
      <c r="DI26" s="146"/>
      <c r="DJ26" s="145"/>
      <c r="DK26" s="146"/>
      <c r="DL26" s="146"/>
      <c r="DM26" s="146"/>
      <c r="DN26" s="146"/>
      <c r="DQ26" s="146"/>
      <c r="DR26" s="161"/>
      <c r="DS26" s="69"/>
      <c r="DT26" s="71"/>
      <c r="DU26" s="190"/>
      <c r="DV26" s="177"/>
      <c r="DW26" s="69"/>
      <c r="DX26" s="71"/>
      <c r="DY26" s="176"/>
      <c r="DZ26" s="176"/>
      <c r="EA26" s="176"/>
      <c r="EB26" s="176"/>
      <c r="EC26" s="176"/>
      <c r="ED26" s="69"/>
      <c r="EE26" s="70"/>
      <c r="EF26" s="71"/>
      <c r="EG26" s="145"/>
      <c r="EH26" s="146"/>
      <c r="EI26" s="146"/>
      <c r="EJ26" s="146"/>
      <c r="EK26" s="146"/>
      <c r="EL26" s="145"/>
      <c r="EM26" s="146"/>
      <c r="EN26" s="146"/>
      <c r="EO26" s="146"/>
      <c r="EP26" s="146"/>
      <c r="ES26" s="159" t="s">
        <v>308</v>
      </c>
      <c r="ET26" s="180"/>
      <c r="EU26" s="148" t="s">
        <v>28</v>
      </c>
      <c r="EV26" s="150"/>
      <c r="EW26" s="148" t="s">
        <v>344</v>
      </c>
      <c r="EX26" s="150"/>
      <c r="EY26" s="219" t="s">
        <v>331</v>
      </c>
      <c r="EZ26" s="218"/>
      <c r="FA26" s="242" t="s">
        <v>403</v>
      </c>
      <c r="FB26" s="242"/>
      <c r="FC26" s="242"/>
      <c r="FD26" s="242"/>
      <c r="FE26" s="242"/>
      <c r="FF26" s="148" t="s">
        <v>308</v>
      </c>
      <c r="FG26" s="149"/>
      <c r="FH26" s="150"/>
      <c r="FI26" s="158" t="s">
        <v>310</v>
      </c>
      <c r="FJ26" s="159"/>
      <c r="FK26" s="159"/>
      <c r="FL26" s="159"/>
      <c r="FM26" s="159"/>
      <c r="FN26" s="158" t="s">
        <v>297</v>
      </c>
      <c r="FO26" s="159"/>
      <c r="FP26" s="159"/>
      <c r="FQ26" s="159"/>
      <c r="FR26" s="159"/>
    </row>
    <row r="27" spans="2:174">
      <c r="B27" s="70" t="s">
        <v>293</v>
      </c>
      <c r="C27" s="71"/>
      <c r="D27" s="69" t="s">
        <v>28</v>
      </c>
      <c r="E27" s="71"/>
      <c r="F27" s="69" t="s">
        <v>516</v>
      </c>
      <c r="G27" s="71"/>
      <c r="H27" s="69" t="s">
        <v>505</v>
      </c>
      <c r="I27" s="71"/>
      <c r="J27" s="196" t="s">
        <v>523</v>
      </c>
      <c r="K27" s="196"/>
      <c r="L27" s="196"/>
      <c r="M27" s="196"/>
      <c r="N27" s="196"/>
      <c r="O27" s="69" t="s">
        <v>318</v>
      </c>
      <c r="P27" s="70"/>
      <c r="Q27" s="71"/>
      <c r="R27" s="165" t="s">
        <v>296</v>
      </c>
      <c r="S27" s="166"/>
      <c r="T27" s="166"/>
      <c r="U27" s="166"/>
      <c r="V27" s="167"/>
      <c r="W27" s="165" t="s">
        <v>297</v>
      </c>
      <c r="X27" s="166"/>
      <c r="Y27" s="166"/>
      <c r="Z27" s="166"/>
      <c r="AA27" s="166"/>
      <c r="AJ27" s="89" t="s">
        <v>298</v>
      </c>
      <c r="AK27" s="90"/>
      <c r="AL27" s="88" t="s">
        <v>28</v>
      </c>
      <c r="AM27" s="90"/>
      <c r="AN27" s="88">
        <v>105</v>
      </c>
      <c r="AO27" s="90"/>
      <c r="AP27" s="88">
        <v>1105</v>
      </c>
      <c r="AQ27" s="90"/>
      <c r="AR27" s="151" t="s">
        <v>342</v>
      </c>
      <c r="AS27" s="151"/>
      <c r="AT27" s="151"/>
      <c r="AU27" s="151"/>
      <c r="AV27" s="151"/>
      <c r="AW27" s="88" t="s">
        <v>299</v>
      </c>
      <c r="AX27" s="89"/>
      <c r="AY27" s="90"/>
      <c r="AZ27" s="142" t="s">
        <v>296</v>
      </c>
      <c r="BA27" s="143"/>
      <c r="BB27" s="143"/>
      <c r="BC27" s="143"/>
      <c r="BD27" s="144"/>
      <c r="BE27" s="142" t="s">
        <v>300</v>
      </c>
      <c r="BF27" s="143"/>
      <c r="BG27" s="143"/>
      <c r="BH27" s="143"/>
      <c r="BI27" s="144"/>
      <c r="BJ27" s="50"/>
      <c r="BL27" s="146"/>
      <c r="BM27" s="161"/>
      <c r="BN27" s="69"/>
      <c r="BO27" s="71"/>
      <c r="BP27" s="69"/>
      <c r="BQ27" s="71"/>
      <c r="BR27" s="69"/>
      <c r="BS27" s="71"/>
      <c r="BT27" s="196"/>
      <c r="BU27" s="196"/>
      <c r="BV27" s="196"/>
      <c r="BW27" s="196"/>
      <c r="BX27" s="198"/>
      <c r="BY27" s="199"/>
      <c r="BZ27" s="200"/>
      <c r="CA27" s="192"/>
      <c r="CB27" s="145"/>
      <c r="CC27" s="146"/>
      <c r="CD27" s="146"/>
      <c r="CE27" s="146"/>
      <c r="CF27" s="146"/>
      <c r="CG27" s="145"/>
      <c r="CH27" s="146"/>
      <c r="CI27" s="146"/>
      <c r="CJ27" s="146"/>
      <c r="CK27" s="146"/>
      <c r="CO27" s="146"/>
      <c r="CP27" s="161"/>
      <c r="CQ27" s="69"/>
      <c r="CR27" s="71"/>
      <c r="CS27" s="69"/>
      <c r="CT27" s="71"/>
      <c r="CU27" s="69"/>
      <c r="CV27" s="71"/>
      <c r="CW27" s="196"/>
      <c r="CX27" s="196"/>
      <c r="CY27" s="196"/>
      <c r="CZ27" s="196"/>
      <c r="DA27" s="196"/>
      <c r="DB27" s="191"/>
      <c r="DC27" s="200"/>
      <c r="DD27" s="192"/>
      <c r="DE27" s="145"/>
      <c r="DF27" s="146"/>
      <c r="DG27" s="146"/>
      <c r="DH27" s="146"/>
      <c r="DI27" s="146"/>
      <c r="DJ27" s="145"/>
      <c r="DK27" s="146"/>
      <c r="DL27" s="146"/>
      <c r="DM27" s="146"/>
      <c r="DN27" s="146"/>
      <c r="DQ27" s="146"/>
      <c r="DR27" s="161"/>
      <c r="DS27" s="69"/>
      <c r="DT27" s="71"/>
      <c r="DU27" s="69"/>
      <c r="DV27" s="71"/>
      <c r="DW27" s="69"/>
      <c r="DX27" s="71"/>
      <c r="DY27" s="176"/>
      <c r="DZ27" s="176"/>
      <c r="EA27" s="176"/>
      <c r="EB27" s="176"/>
      <c r="EC27" s="176"/>
      <c r="ED27" s="191"/>
      <c r="EE27" s="200"/>
      <c r="EF27" s="192"/>
      <c r="EG27" s="145"/>
      <c r="EH27" s="146"/>
      <c r="EI27" s="146"/>
      <c r="EJ27" s="146"/>
      <c r="EK27" s="146"/>
      <c r="EL27" s="145"/>
      <c r="EM27" s="146"/>
      <c r="EN27" s="146"/>
      <c r="EO27" s="146"/>
      <c r="EP27" s="146"/>
      <c r="ES27" s="146" t="s">
        <v>308</v>
      </c>
      <c r="ET27" s="161"/>
      <c r="EU27" s="69" t="s">
        <v>28</v>
      </c>
      <c r="EV27" s="71"/>
      <c r="EW27" s="69" t="s">
        <v>351</v>
      </c>
      <c r="EX27" s="71"/>
      <c r="EY27" s="154" t="s">
        <v>333</v>
      </c>
      <c r="EZ27" s="153"/>
      <c r="FA27" s="176" t="s">
        <v>403</v>
      </c>
      <c r="FB27" s="176"/>
      <c r="FC27" s="176"/>
      <c r="FD27" s="176"/>
      <c r="FE27" s="176"/>
      <c r="FF27" s="69" t="s">
        <v>308</v>
      </c>
      <c r="FG27" s="70"/>
      <c r="FH27" s="71"/>
      <c r="FI27" s="145" t="s">
        <v>310</v>
      </c>
      <c r="FJ27" s="146"/>
      <c r="FK27" s="146"/>
      <c r="FL27" s="146"/>
      <c r="FM27" s="146"/>
      <c r="FN27" s="145" t="s">
        <v>297</v>
      </c>
      <c r="FO27" s="146"/>
      <c r="FP27" s="146"/>
      <c r="FQ27" s="146"/>
      <c r="FR27" s="146"/>
    </row>
    <row r="28" spans="2:174">
      <c r="B28" s="70" t="s">
        <v>293</v>
      </c>
      <c r="C28" s="71"/>
      <c r="D28" s="190" t="s">
        <v>28</v>
      </c>
      <c r="E28" s="177"/>
      <c r="F28" s="69" t="s">
        <v>517</v>
      </c>
      <c r="G28" s="71"/>
      <c r="H28" s="69" t="s">
        <v>506</v>
      </c>
      <c r="I28" s="71"/>
      <c r="J28" s="196" t="s">
        <v>523</v>
      </c>
      <c r="K28" s="196"/>
      <c r="L28" s="196"/>
      <c r="M28" s="196"/>
      <c r="N28" s="196"/>
      <c r="O28" s="69" t="s">
        <v>318</v>
      </c>
      <c r="P28" s="70"/>
      <c r="Q28" s="71"/>
      <c r="R28" s="168" t="s">
        <v>296</v>
      </c>
      <c r="S28" s="122"/>
      <c r="T28" s="122"/>
      <c r="U28" s="122"/>
      <c r="V28" s="169"/>
      <c r="W28" s="168" t="s">
        <v>297</v>
      </c>
      <c r="X28" s="122"/>
      <c r="Y28" s="122"/>
      <c r="Z28" s="122"/>
      <c r="AA28" s="122"/>
      <c r="AJ28" s="149" t="s">
        <v>298</v>
      </c>
      <c r="AK28" s="150"/>
      <c r="AL28" s="148" t="s">
        <v>28</v>
      </c>
      <c r="AM28" s="150"/>
      <c r="AN28" s="148">
        <v>106</v>
      </c>
      <c r="AO28" s="150"/>
      <c r="AP28" s="148">
        <v>1106</v>
      </c>
      <c r="AQ28" s="150"/>
      <c r="AR28" s="162" t="s">
        <v>348</v>
      </c>
      <c r="AS28" s="162"/>
      <c r="AT28" s="162"/>
      <c r="AU28" s="162"/>
      <c r="AV28" s="162"/>
      <c r="AW28" s="148" t="s">
        <v>319</v>
      </c>
      <c r="AX28" s="149"/>
      <c r="AY28" s="150"/>
      <c r="AZ28" s="158" t="s">
        <v>296</v>
      </c>
      <c r="BA28" s="159"/>
      <c r="BB28" s="159"/>
      <c r="BC28" s="159"/>
      <c r="BD28" s="160"/>
      <c r="BE28" s="158" t="s">
        <v>300</v>
      </c>
      <c r="BF28" s="159"/>
      <c r="BG28" s="159"/>
      <c r="BH28" s="159"/>
      <c r="BI28" s="160"/>
      <c r="BJ28" s="50"/>
      <c r="BL28" s="146"/>
      <c r="BM28" s="161"/>
      <c r="BN28" s="69"/>
      <c r="BO28" s="71"/>
      <c r="BP28" s="69"/>
      <c r="BQ28" s="71"/>
      <c r="BR28" s="69"/>
      <c r="BS28" s="71"/>
      <c r="BT28" s="74"/>
      <c r="BU28" s="74"/>
      <c r="BV28" s="74"/>
      <c r="BW28" s="74"/>
      <c r="BX28" s="66"/>
      <c r="BY28" s="189"/>
      <c r="BZ28" s="127"/>
      <c r="CA28" s="177"/>
      <c r="CB28" s="145"/>
      <c r="CC28" s="146"/>
      <c r="CD28" s="146"/>
      <c r="CE28" s="146"/>
      <c r="CF28" s="146"/>
      <c r="CG28" s="145"/>
      <c r="CH28" s="146"/>
      <c r="CI28" s="146"/>
      <c r="CJ28" s="146"/>
      <c r="CK28" s="146"/>
      <c r="CO28" s="146"/>
      <c r="CP28" s="161"/>
      <c r="CQ28" s="69"/>
      <c r="CR28" s="71"/>
      <c r="CS28" s="69"/>
      <c r="CT28" s="71"/>
      <c r="CU28" s="69"/>
      <c r="CV28" s="71"/>
      <c r="CW28" s="74"/>
      <c r="CX28" s="74"/>
      <c r="CY28" s="74"/>
      <c r="CZ28" s="74"/>
      <c r="DA28" s="74"/>
      <c r="DB28" s="127"/>
      <c r="DC28" s="127"/>
      <c r="DD28" s="177"/>
      <c r="DE28" s="145"/>
      <c r="DF28" s="146"/>
      <c r="DG28" s="146"/>
      <c r="DH28" s="146"/>
      <c r="DI28" s="146"/>
      <c r="DJ28" s="145"/>
      <c r="DK28" s="146"/>
      <c r="DL28" s="146"/>
      <c r="DM28" s="146"/>
      <c r="DN28" s="146"/>
      <c r="DQ28" s="146"/>
      <c r="DR28" s="161"/>
      <c r="DS28" s="69"/>
      <c r="DT28" s="71"/>
      <c r="DU28" s="69"/>
      <c r="DV28" s="71"/>
      <c r="DW28" s="69"/>
      <c r="DX28" s="71"/>
      <c r="DY28" s="176"/>
      <c r="DZ28" s="176"/>
      <c r="EA28" s="176"/>
      <c r="EB28" s="176"/>
      <c r="EC28" s="176"/>
      <c r="ED28" s="127"/>
      <c r="EE28" s="127"/>
      <c r="EF28" s="177"/>
      <c r="EG28" s="145"/>
      <c r="EH28" s="146"/>
      <c r="EI28" s="146"/>
      <c r="EJ28" s="146"/>
      <c r="EK28" s="146"/>
      <c r="EL28" s="145"/>
      <c r="EM28" s="146"/>
      <c r="EN28" s="146"/>
      <c r="EO28" s="146"/>
      <c r="EP28" s="146"/>
      <c r="ES28" s="143" t="s">
        <v>308</v>
      </c>
      <c r="ET28" s="195"/>
      <c r="EU28" s="88" t="s">
        <v>28</v>
      </c>
      <c r="EV28" s="90"/>
      <c r="EW28" s="88" t="s">
        <v>354</v>
      </c>
      <c r="EX28" s="90"/>
      <c r="EY28" s="243" t="s">
        <v>336</v>
      </c>
      <c r="EZ28" s="244"/>
      <c r="FA28" s="245" t="s">
        <v>403</v>
      </c>
      <c r="FB28" s="245"/>
      <c r="FC28" s="245"/>
      <c r="FD28" s="245"/>
      <c r="FE28" s="245"/>
      <c r="FF28" s="88" t="s">
        <v>308</v>
      </c>
      <c r="FG28" s="89"/>
      <c r="FH28" s="90"/>
      <c r="FI28" s="142" t="s">
        <v>310</v>
      </c>
      <c r="FJ28" s="143"/>
      <c r="FK28" s="143"/>
      <c r="FL28" s="143"/>
      <c r="FM28" s="143"/>
      <c r="FN28" s="142" t="s">
        <v>297</v>
      </c>
      <c r="FO28" s="143"/>
      <c r="FP28" s="143"/>
      <c r="FQ28" s="143"/>
      <c r="FR28" s="143"/>
    </row>
    <row r="29" spans="2:174">
      <c r="B29" s="70" t="s">
        <v>293</v>
      </c>
      <c r="C29" s="71"/>
      <c r="D29" s="69" t="s">
        <v>28</v>
      </c>
      <c r="E29" s="71"/>
      <c r="F29" s="69" t="s">
        <v>518</v>
      </c>
      <c r="G29" s="71"/>
      <c r="H29" s="69" t="s">
        <v>507</v>
      </c>
      <c r="I29" s="71"/>
      <c r="J29" s="196" t="s">
        <v>523</v>
      </c>
      <c r="K29" s="196"/>
      <c r="L29" s="196"/>
      <c r="M29" s="196"/>
      <c r="N29" s="196"/>
      <c r="O29" s="69" t="s">
        <v>318</v>
      </c>
      <c r="P29" s="70"/>
      <c r="Q29" s="71"/>
      <c r="R29" s="165" t="s">
        <v>296</v>
      </c>
      <c r="S29" s="166"/>
      <c r="T29" s="166"/>
      <c r="U29" s="166"/>
      <c r="V29" s="167"/>
      <c r="W29" s="165" t="s">
        <v>297</v>
      </c>
      <c r="X29" s="166"/>
      <c r="Y29" s="166"/>
      <c r="Z29" s="166"/>
      <c r="AA29" s="166"/>
      <c r="AJ29" s="70" t="s">
        <v>298</v>
      </c>
      <c r="AK29" s="71"/>
      <c r="AL29" s="69" t="s">
        <v>28</v>
      </c>
      <c r="AM29" s="71"/>
      <c r="AN29" s="69">
        <v>107</v>
      </c>
      <c r="AO29" s="71"/>
      <c r="AP29" s="69">
        <v>1107</v>
      </c>
      <c r="AQ29" s="71"/>
      <c r="AR29" s="74" t="s">
        <v>348</v>
      </c>
      <c r="AS29" s="74"/>
      <c r="AT29" s="74"/>
      <c r="AU29" s="74"/>
      <c r="AV29" s="74"/>
      <c r="AW29" s="69" t="s">
        <v>319</v>
      </c>
      <c r="AX29" s="70"/>
      <c r="AY29" s="71"/>
      <c r="AZ29" s="145" t="s">
        <v>296</v>
      </c>
      <c r="BA29" s="146"/>
      <c r="BB29" s="146"/>
      <c r="BC29" s="146"/>
      <c r="BD29" s="147"/>
      <c r="BE29" s="145" t="s">
        <v>300</v>
      </c>
      <c r="BF29" s="146"/>
      <c r="BG29" s="146"/>
      <c r="BH29" s="146"/>
      <c r="BI29" s="147"/>
      <c r="BJ29" s="50"/>
      <c r="BL29" s="146"/>
      <c r="BM29" s="161"/>
      <c r="BN29" s="69"/>
      <c r="BO29" s="71"/>
      <c r="BP29" s="69"/>
      <c r="BQ29" s="71"/>
      <c r="BR29" s="69"/>
      <c r="BS29" s="71"/>
      <c r="BT29" s="74"/>
      <c r="BU29" s="74"/>
      <c r="BV29" s="74"/>
      <c r="BW29" s="74"/>
      <c r="BX29" s="66"/>
      <c r="BY29" s="193"/>
      <c r="BZ29" s="70"/>
      <c r="CA29" s="71"/>
      <c r="CB29" s="145"/>
      <c r="CC29" s="146"/>
      <c r="CD29" s="146"/>
      <c r="CE29" s="146"/>
      <c r="CF29" s="146"/>
      <c r="CG29" s="145"/>
      <c r="CH29" s="146"/>
      <c r="CI29" s="146"/>
      <c r="CJ29" s="146"/>
      <c r="CK29" s="146"/>
      <c r="CO29" s="146"/>
      <c r="CP29" s="161"/>
      <c r="CQ29" s="69"/>
      <c r="CR29" s="71"/>
      <c r="CS29" s="69"/>
      <c r="CT29" s="71"/>
      <c r="CU29" s="69"/>
      <c r="CV29" s="71"/>
      <c r="CW29" s="74"/>
      <c r="CX29" s="74"/>
      <c r="CY29" s="74"/>
      <c r="CZ29" s="74"/>
      <c r="DA29" s="74"/>
      <c r="DB29" s="69"/>
      <c r="DC29" s="70"/>
      <c r="DD29" s="71"/>
      <c r="DE29" s="145"/>
      <c r="DF29" s="146"/>
      <c r="DG29" s="146"/>
      <c r="DH29" s="146"/>
      <c r="DI29" s="146"/>
      <c r="DJ29" s="145"/>
      <c r="DK29" s="146"/>
      <c r="DL29" s="146"/>
      <c r="DM29" s="146"/>
      <c r="DN29" s="146"/>
      <c r="DQ29" s="146"/>
      <c r="DR29" s="161"/>
      <c r="DS29" s="69"/>
      <c r="DT29" s="71"/>
      <c r="DU29" s="69"/>
      <c r="DV29" s="71"/>
      <c r="DW29" s="69"/>
      <c r="DX29" s="71"/>
      <c r="DY29" s="176"/>
      <c r="DZ29" s="176"/>
      <c r="EA29" s="176"/>
      <c r="EB29" s="176"/>
      <c r="EC29" s="176"/>
      <c r="ED29" s="69"/>
      <c r="EE29" s="70"/>
      <c r="EF29" s="71"/>
      <c r="EG29" s="145"/>
      <c r="EH29" s="146"/>
      <c r="EI29" s="146"/>
      <c r="EJ29" s="146"/>
      <c r="EK29" s="146"/>
      <c r="EL29" s="145"/>
      <c r="EM29" s="146"/>
      <c r="EN29" s="146"/>
      <c r="EO29" s="146"/>
      <c r="EP29" s="146"/>
      <c r="ES29" s="122"/>
      <c r="ET29" s="185"/>
      <c r="EU29" s="190"/>
      <c r="EV29" s="177"/>
      <c r="EW29" s="190"/>
      <c r="EX29" s="177"/>
      <c r="EY29" s="246"/>
      <c r="EZ29" s="247"/>
      <c r="FA29" s="187"/>
      <c r="FB29" s="187"/>
      <c r="FC29" s="187"/>
      <c r="FD29" s="187"/>
      <c r="FE29" s="187"/>
      <c r="FF29" s="190"/>
      <c r="FG29" s="127"/>
      <c r="FH29" s="177"/>
      <c r="FI29" s="168"/>
      <c r="FJ29" s="122"/>
      <c r="FK29" s="122"/>
      <c r="FL29" s="122"/>
      <c r="FM29" s="122"/>
      <c r="FN29" s="168"/>
      <c r="FO29" s="122"/>
      <c r="FP29" s="122"/>
      <c r="FQ29" s="122"/>
      <c r="FR29" s="122"/>
    </row>
    <row r="30" spans="2:174">
      <c r="B30" s="70" t="s">
        <v>293</v>
      </c>
      <c r="C30" s="71"/>
      <c r="D30" s="190" t="s">
        <v>28</v>
      </c>
      <c r="E30" s="177"/>
      <c r="F30" s="69" t="s">
        <v>519</v>
      </c>
      <c r="G30" s="71"/>
      <c r="H30" s="69" t="s">
        <v>508</v>
      </c>
      <c r="I30" s="71"/>
      <c r="J30" s="196" t="s">
        <v>523</v>
      </c>
      <c r="K30" s="196"/>
      <c r="L30" s="196"/>
      <c r="M30" s="196"/>
      <c r="N30" s="196"/>
      <c r="O30" s="69" t="s">
        <v>318</v>
      </c>
      <c r="P30" s="70"/>
      <c r="Q30" s="71"/>
      <c r="R30" s="168" t="s">
        <v>296</v>
      </c>
      <c r="S30" s="122"/>
      <c r="T30" s="122"/>
      <c r="U30" s="122"/>
      <c r="V30" s="169"/>
      <c r="W30" s="168" t="s">
        <v>297</v>
      </c>
      <c r="X30" s="122"/>
      <c r="Y30" s="122"/>
      <c r="Z30" s="122"/>
      <c r="AA30" s="122"/>
      <c r="AJ30" s="70" t="s">
        <v>298</v>
      </c>
      <c r="AK30" s="71"/>
      <c r="AL30" s="69" t="s">
        <v>28</v>
      </c>
      <c r="AM30" s="71"/>
      <c r="AN30" s="69">
        <v>108</v>
      </c>
      <c r="AO30" s="71"/>
      <c r="AP30" s="69">
        <v>1108</v>
      </c>
      <c r="AQ30" s="71"/>
      <c r="AR30" s="74" t="s">
        <v>348</v>
      </c>
      <c r="AS30" s="74"/>
      <c r="AT30" s="74"/>
      <c r="AU30" s="74"/>
      <c r="AV30" s="74"/>
      <c r="AW30" s="69" t="s">
        <v>319</v>
      </c>
      <c r="AX30" s="70"/>
      <c r="AY30" s="71"/>
      <c r="AZ30" s="145" t="s">
        <v>296</v>
      </c>
      <c r="BA30" s="146"/>
      <c r="BB30" s="146"/>
      <c r="BC30" s="146"/>
      <c r="BD30" s="147"/>
      <c r="BE30" s="145" t="s">
        <v>300</v>
      </c>
      <c r="BF30" s="146"/>
      <c r="BG30" s="146"/>
      <c r="BH30" s="146"/>
      <c r="BI30" s="147"/>
      <c r="BJ30" s="50"/>
      <c r="BL30" s="146"/>
      <c r="BM30" s="161"/>
      <c r="BN30" s="69"/>
      <c r="BO30" s="71"/>
      <c r="BP30" s="69"/>
      <c r="BQ30" s="71"/>
      <c r="BR30" s="69"/>
      <c r="BS30" s="71"/>
      <c r="BT30" s="74"/>
      <c r="BU30" s="74"/>
      <c r="BV30" s="74"/>
      <c r="BW30" s="74"/>
      <c r="BX30" s="66"/>
      <c r="BY30" s="193"/>
      <c r="BZ30" s="70"/>
      <c r="CA30" s="71"/>
      <c r="CB30" s="145"/>
      <c r="CC30" s="146"/>
      <c r="CD30" s="146"/>
      <c r="CE30" s="146"/>
      <c r="CF30" s="146"/>
      <c r="CG30" s="145"/>
      <c r="CH30" s="146"/>
      <c r="CI30" s="146"/>
      <c r="CJ30" s="146"/>
      <c r="CK30" s="146"/>
      <c r="CO30" s="146"/>
      <c r="CP30" s="161"/>
      <c r="CQ30" s="69"/>
      <c r="CR30" s="71"/>
      <c r="CS30" s="69"/>
      <c r="CT30" s="71"/>
      <c r="CU30" s="69"/>
      <c r="CV30" s="71"/>
      <c r="CW30" s="74"/>
      <c r="CX30" s="74"/>
      <c r="CY30" s="74"/>
      <c r="CZ30" s="74"/>
      <c r="DA30" s="74"/>
      <c r="DB30" s="127"/>
      <c r="DC30" s="127"/>
      <c r="DD30" s="177"/>
      <c r="DE30" s="145"/>
      <c r="DF30" s="146"/>
      <c r="DG30" s="146"/>
      <c r="DH30" s="146"/>
      <c r="DI30" s="146"/>
      <c r="DJ30" s="145"/>
      <c r="DK30" s="146"/>
      <c r="DL30" s="146"/>
      <c r="DM30" s="146"/>
      <c r="DN30" s="146"/>
      <c r="DQ30" s="146"/>
      <c r="DR30" s="161"/>
      <c r="DS30" s="69"/>
      <c r="DT30" s="71"/>
      <c r="DU30" s="69"/>
      <c r="DV30" s="71"/>
      <c r="DW30" s="69"/>
      <c r="DX30" s="71"/>
      <c r="DY30" s="176"/>
      <c r="DZ30" s="176"/>
      <c r="EA30" s="176"/>
      <c r="EB30" s="176"/>
      <c r="EC30" s="176"/>
      <c r="ED30" s="127"/>
      <c r="EE30" s="127"/>
      <c r="EF30" s="177"/>
      <c r="EG30" s="145"/>
      <c r="EH30" s="146"/>
      <c r="EI30" s="146"/>
      <c r="EJ30" s="146"/>
      <c r="EK30" s="146"/>
      <c r="EL30" s="145"/>
      <c r="EM30" s="146"/>
      <c r="EN30" s="146"/>
      <c r="EO30" s="146"/>
      <c r="EP30" s="146"/>
      <c r="ES30" s="146"/>
      <c r="ET30" s="161"/>
      <c r="EU30" s="69"/>
      <c r="EV30" s="71"/>
      <c r="EW30" s="69"/>
      <c r="EX30" s="71"/>
      <c r="EY30" s="154"/>
      <c r="EZ30" s="153"/>
      <c r="FA30" s="176"/>
      <c r="FB30" s="176"/>
      <c r="FC30" s="176"/>
      <c r="FD30" s="176"/>
      <c r="FE30" s="176"/>
      <c r="FF30" s="69"/>
      <c r="FG30" s="70"/>
      <c r="FH30" s="71"/>
      <c r="FI30" s="145"/>
      <c r="FJ30" s="146"/>
      <c r="FK30" s="146"/>
      <c r="FL30" s="146"/>
      <c r="FM30" s="146"/>
      <c r="FN30" s="145"/>
      <c r="FO30" s="146"/>
      <c r="FP30" s="146"/>
      <c r="FQ30" s="146"/>
      <c r="FR30" s="146"/>
    </row>
    <row r="31" spans="2:174">
      <c r="B31" s="70" t="s">
        <v>293</v>
      </c>
      <c r="C31" s="71"/>
      <c r="D31" s="69" t="s">
        <v>28</v>
      </c>
      <c r="E31" s="71"/>
      <c r="F31" s="69" t="s">
        <v>520</v>
      </c>
      <c r="G31" s="71"/>
      <c r="H31" s="69" t="s">
        <v>509</v>
      </c>
      <c r="I31" s="71"/>
      <c r="J31" s="196" t="s">
        <v>523</v>
      </c>
      <c r="K31" s="196"/>
      <c r="L31" s="196"/>
      <c r="M31" s="196"/>
      <c r="N31" s="196"/>
      <c r="O31" s="69" t="s">
        <v>318</v>
      </c>
      <c r="P31" s="70"/>
      <c r="Q31" s="71"/>
      <c r="R31" s="165" t="s">
        <v>296</v>
      </c>
      <c r="S31" s="166"/>
      <c r="T31" s="166"/>
      <c r="U31" s="166"/>
      <c r="V31" s="167"/>
      <c r="W31" s="165" t="s">
        <v>297</v>
      </c>
      <c r="X31" s="166"/>
      <c r="Y31" s="166"/>
      <c r="Z31" s="166"/>
      <c r="AA31" s="166"/>
      <c r="AJ31" s="70" t="s">
        <v>298</v>
      </c>
      <c r="AK31" s="71"/>
      <c r="AL31" s="69" t="s">
        <v>28</v>
      </c>
      <c r="AM31" s="71"/>
      <c r="AN31" s="69">
        <v>109</v>
      </c>
      <c r="AO31" s="71"/>
      <c r="AP31" s="69">
        <v>1109</v>
      </c>
      <c r="AQ31" s="71"/>
      <c r="AR31" s="74" t="s">
        <v>348</v>
      </c>
      <c r="AS31" s="74"/>
      <c r="AT31" s="74"/>
      <c r="AU31" s="74"/>
      <c r="AV31" s="74"/>
      <c r="AW31" s="69" t="s">
        <v>319</v>
      </c>
      <c r="AX31" s="70"/>
      <c r="AY31" s="71"/>
      <c r="AZ31" s="145" t="s">
        <v>296</v>
      </c>
      <c r="BA31" s="146"/>
      <c r="BB31" s="146"/>
      <c r="BC31" s="146"/>
      <c r="BD31" s="147"/>
      <c r="BE31" s="145" t="s">
        <v>300</v>
      </c>
      <c r="BF31" s="146"/>
      <c r="BG31" s="146"/>
      <c r="BH31" s="146"/>
      <c r="BI31" s="147"/>
      <c r="BJ31" s="50"/>
      <c r="BL31" s="146"/>
      <c r="BM31" s="161"/>
      <c r="BN31" s="69"/>
      <c r="BO31" s="71"/>
      <c r="BP31" s="69"/>
      <c r="BQ31" s="71"/>
      <c r="BR31" s="69"/>
      <c r="BS31" s="71"/>
      <c r="BT31" s="74"/>
      <c r="BU31" s="74"/>
      <c r="BV31" s="74"/>
      <c r="BW31" s="74"/>
      <c r="BX31" s="66"/>
      <c r="BY31" s="193"/>
      <c r="BZ31" s="70"/>
      <c r="CA31" s="71"/>
      <c r="CB31" s="145"/>
      <c r="CC31" s="146"/>
      <c r="CD31" s="146"/>
      <c r="CE31" s="146"/>
      <c r="CF31" s="146"/>
      <c r="CG31" s="145"/>
      <c r="CH31" s="146"/>
      <c r="CI31" s="146"/>
      <c r="CJ31" s="146"/>
      <c r="CK31" s="146"/>
      <c r="CO31" s="146"/>
      <c r="CP31" s="161"/>
      <c r="CQ31" s="69"/>
      <c r="CR31" s="71"/>
      <c r="CS31" s="69"/>
      <c r="CT31" s="71"/>
      <c r="CU31" s="69"/>
      <c r="CV31" s="71"/>
      <c r="CW31" s="74"/>
      <c r="CX31" s="74"/>
      <c r="CY31" s="74"/>
      <c r="CZ31" s="74"/>
      <c r="DA31" s="74"/>
      <c r="DB31" s="69"/>
      <c r="DC31" s="70"/>
      <c r="DD31" s="71"/>
      <c r="DE31" s="145"/>
      <c r="DF31" s="146"/>
      <c r="DG31" s="146"/>
      <c r="DH31" s="146"/>
      <c r="DI31" s="146"/>
      <c r="DJ31" s="145"/>
      <c r="DK31" s="146"/>
      <c r="DL31" s="146"/>
      <c r="DM31" s="146"/>
      <c r="DN31" s="146"/>
      <c r="DQ31" s="146"/>
      <c r="DR31" s="161"/>
      <c r="DS31" s="69"/>
      <c r="DT31" s="71"/>
      <c r="DU31" s="69"/>
      <c r="DV31" s="71"/>
      <c r="DW31" s="69"/>
      <c r="DX31" s="71"/>
      <c r="DY31" s="176"/>
      <c r="DZ31" s="176"/>
      <c r="EA31" s="176"/>
      <c r="EB31" s="176"/>
      <c r="EC31" s="176"/>
      <c r="ED31" s="69"/>
      <c r="EE31" s="70"/>
      <c r="EF31" s="71"/>
      <c r="EG31" s="145"/>
      <c r="EH31" s="146"/>
      <c r="EI31" s="146"/>
      <c r="EJ31" s="146"/>
      <c r="EK31" s="146"/>
      <c r="EL31" s="145"/>
      <c r="EM31" s="146"/>
      <c r="EN31" s="146"/>
      <c r="EO31" s="146"/>
      <c r="EP31" s="146"/>
      <c r="ES31" s="143"/>
      <c r="ET31" s="195"/>
      <c r="EU31" s="88"/>
      <c r="EV31" s="90"/>
      <c r="EW31" s="88"/>
      <c r="EX31" s="90"/>
      <c r="EY31" s="243"/>
      <c r="EZ31" s="244"/>
      <c r="FA31" s="245"/>
      <c r="FB31" s="245"/>
      <c r="FC31" s="245"/>
      <c r="FD31" s="245"/>
      <c r="FE31" s="245"/>
      <c r="FF31" s="88"/>
      <c r="FG31" s="89"/>
      <c r="FH31" s="90"/>
      <c r="FI31" s="142"/>
      <c r="FJ31" s="143"/>
      <c r="FK31" s="143"/>
      <c r="FL31" s="143"/>
      <c r="FM31" s="143"/>
      <c r="FN31" s="142"/>
      <c r="FO31" s="143"/>
      <c r="FP31" s="143"/>
      <c r="FQ31" s="143"/>
      <c r="FR31" s="143"/>
    </row>
    <row r="32" spans="2:174">
      <c r="B32" s="70" t="s">
        <v>293</v>
      </c>
      <c r="C32" s="71"/>
      <c r="D32" s="190" t="s">
        <v>28</v>
      </c>
      <c r="E32" s="177"/>
      <c r="F32" s="69" t="s">
        <v>521</v>
      </c>
      <c r="G32" s="71"/>
      <c r="H32" s="69" t="s">
        <v>510</v>
      </c>
      <c r="I32" s="71"/>
      <c r="J32" s="196" t="s">
        <v>523</v>
      </c>
      <c r="K32" s="196"/>
      <c r="L32" s="196"/>
      <c r="M32" s="196"/>
      <c r="N32" s="196"/>
      <c r="O32" s="69" t="s">
        <v>318</v>
      </c>
      <c r="P32" s="70"/>
      <c r="Q32" s="71"/>
      <c r="R32" s="168" t="s">
        <v>296</v>
      </c>
      <c r="S32" s="122"/>
      <c r="T32" s="122"/>
      <c r="U32" s="122"/>
      <c r="V32" s="169"/>
      <c r="W32" s="168" t="s">
        <v>297</v>
      </c>
      <c r="X32" s="122"/>
      <c r="Y32" s="122"/>
      <c r="Z32" s="122"/>
      <c r="AA32" s="122"/>
      <c r="AJ32" s="70" t="s">
        <v>298</v>
      </c>
      <c r="AK32" s="71"/>
      <c r="AL32" s="69" t="s">
        <v>28</v>
      </c>
      <c r="AM32" s="71"/>
      <c r="AN32" s="69" t="s">
        <v>343</v>
      </c>
      <c r="AO32" s="71"/>
      <c r="AP32" s="69" t="s">
        <v>349</v>
      </c>
      <c r="AQ32" s="71"/>
      <c r="AR32" s="74" t="s">
        <v>348</v>
      </c>
      <c r="AS32" s="74"/>
      <c r="AT32" s="74"/>
      <c r="AU32" s="74"/>
      <c r="AV32" s="74"/>
      <c r="AW32" s="69" t="s">
        <v>319</v>
      </c>
      <c r="AX32" s="70"/>
      <c r="AY32" s="71"/>
      <c r="AZ32" s="145" t="s">
        <v>296</v>
      </c>
      <c r="BA32" s="146"/>
      <c r="BB32" s="146"/>
      <c r="BC32" s="146"/>
      <c r="BD32" s="147"/>
      <c r="BE32" s="145" t="s">
        <v>300</v>
      </c>
      <c r="BF32" s="146"/>
      <c r="BG32" s="146"/>
      <c r="BH32" s="146"/>
      <c r="BI32" s="147"/>
      <c r="BJ32" s="50"/>
      <c r="BL32" s="146"/>
      <c r="BM32" s="161"/>
      <c r="BN32" s="69"/>
      <c r="BO32" s="71"/>
      <c r="BP32" s="69"/>
      <c r="BQ32" s="71"/>
      <c r="BR32" s="69"/>
      <c r="BS32" s="71"/>
      <c r="BT32" s="74"/>
      <c r="BU32" s="74"/>
      <c r="BV32" s="74"/>
      <c r="BW32" s="74"/>
      <c r="BX32" s="66"/>
      <c r="BY32" s="189"/>
      <c r="BZ32" s="127"/>
      <c r="CA32" s="177"/>
      <c r="CB32" s="145"/>
      <c r="CC32" s="146"/>
      <c r="CD32" s="146"/>
      <c r="CE32" s="146"/>
      <c r="CF32" s="146"/>
      <c r="CG32" s="145"/>
      <c r="CH32" s="146"/>
      <c r="CI32" s="146"/>
      <c r="CJ32" s="146"/>
      <c r="CK32" s="146"/>
      <c r="CO32" s="146"/>
      <c r="CP32" s="161"/>
      <c r="CQ32" s="69"/>
      <c r="CR32" s="71"/>
      <c r="CS32" s="69"/>
      <c r="CT32" s="71"/>
      <c r="CU32" s="69"/>
      <c r="CV32" s="71"/>
      <c r="CW32" s="74"/>
      <c r="CX32" s="74"/>
      <c r="CY32" s="74"/>
      <c r="CZ32" s="74"/>
      <c r="DA32" s="74"/>
      <c r="DB32" s="127"/>
      <c r="DC32" s="127"/>
      <c r="DD32" s="177"/>
      <c r="DE32" s="145"/>
      <c r="DF32" s="146"/>
      <c r="DG32" s="146"/>
      <c r="DH32" s="146"/>
      <c r="DI32" s="146"/>
      <c r="DJ32" s="145"/>
      <c r="DK32" s="146"/>
      <c r="DL32" s="146"/>
      <c r="DM32" s="146"/>
      <c r="DN32" s="146"/>
      <c r="DQ32" s="146"/>
      <c r="DR32" s="161"/>
      <c r="DS32" s="69"/>
      <c r="DT32" s="71"/>
      <c r="DU32" s="69"/>
      <c r="DV32" s="71"/>
      <c r="DW32" s="69"/>
      <c r="DX32" s="71"/>
      <c r="DY32" s="176"/>
      <c r="DZ32" s="176"/>
      <c r="EA32" s="176"/>
      <c r="EB32" s="176"/>
      <c r="EC32" s="176"/>
      <c r="ED32" s="127"/>
      <c r="EE32" s="127"/>
      <c r="EF32" s="177"/>
      <c r="EG32" s="145"/>
      <c r="EH32" s="146"/>
      <c r="EI32" s="146"/>
      <c r="EJ32" s="146"/>
      <c r="EK32" s="146"/>
      <c r="EL32" s="145"/>
      <c r="EM32" s="146"/>
      <c r="EN32" s="146"/>
      <c r="EO32" s="146"/>
      <c r="EP32" s="146"/>
      <c r="ES32" s="95" t="s">
        <v>308</v>
      </c>
      <c r="ET32" s="96"/>
      <c r="EU32" s="248" t="s">
        <v>28</v>
      </c>
      <c r="EV32" s="96"/>
      <c r="EW32" s="248">
        <v>111</v>
      </c>
      <c r="EX32" s="96"/>
      <c r="EY32" s="248">
        <v>1511</v>
      </c>
      <c r="EZ32" s="96"/>
      <c r="FA32" s="249" t="s">
        <v>406</v>
      </c>
      <c r="FB32" s="249"/>
      <c r="FC32" s="249"/>
      <c r="FD32" s="249"/>
      <c r="FE32" s="249"/>
      <c r="FF32" s="248" t="s">
        <v>407</v>
      </c>
      <c r="FG32" s="95"/>
      <c r="FH32" s="96"/>
      <c r="FI32" s="248" t="s">
        <v>310</v>
      </c>
      <c r="FJ32" s="95"/>
      <c r="FK32" s="95"/>
      <c r="FL32" s="95"/>
      <c r="FM32" s="95"/>
      <c r="FN32" s="248" t="s">
        <v>297</v>
      </c>
      <c r="FO32" s="95"/>
      <c r="FP32" s="95"/>
      <c r="FQ32" s="95"/>
      <c r="FR32" s="95"/>
    </row>
    <row r="33" spans="2:174">
      <c r="B33" s="89" t="s">
        <v>293</v>
      </c>
      <c r="C33" s="90"/>
      <c r="D33" s="88" t="s">
        <v>28</v>
      </c>
      <c r="E33" s="90"/>
      <c r="F33" s="88" t="s">
        <v>522</v>
      </c>
      <c r="G33" s="90"/>
      <c r="H33" s="88" t="s">
        <v>511</v>
      </c>
      <c r="I33" s="90"/>
      <c r="J33" s="197" t="s">
        <v>523</v>
      </c>
      <c r="K33" s="197"/>
      <c r="L33" s="197"/>
      <c r="M33" s="197"/>
      <c r="N33" s="197"/>
      <c r="O33" s="88" t="s">
        <v>318</v>
      </c>
      <c r="P33" s="89"/>
      <c r="Q33" s="90"/>
      <c r="R33" s="142" t="s">
        <v>296</v>
      </c>
      <c r="S33" s="143"/>
      <c r="T33" s="143"/>
      <c r="U33" s="143"/>
      <c r="V33" s="144"/>
      <c r="W33" s="142" t="s">
        <v>297</v>
      </c>
      <c r="X33" s="143"/>
      <c r="Y33" s="143"/>
      <c r="Z33" s="143"/>
      <c r="AA33" s="143"/>
      <c r="AJ33" s="89" t="s">
        <v>298</v>
      </c>
      <c r="AK33" s="90"/>
      <c r="AL33" s="88" t="s">
        <v>28</v>
      </c>
      <c r="AM33" s="90"/>
      <c r="AN33" s="88" t="s">
        <v>344</v>
      </c>
      <c r="AO33" s="90"/>
      <c r="AP33" s="88" t="s">
        <v>350</v>
      </c>
      <c r="AQ33" s="90"/>
      <c r="AR33" s="151" t="s">
        <v>348</v>
      </c>
      <c r="AS33" s="151"/>
      <c r="AT33" s="151"/>
      <c r="AU33" s="151"/>
      <c r="AV33" s="151"/>
      <c r="AW33" s="88" t="s">
        <v>319</v>
      </c>
      <c r="AX33" s="89"/>
      <c r="AY33" s="90"/>
      <c r="AZ33" s="142" t="s">
        <v>296</v>
      </c>
      <c r="BA33" s="143"/>
      <c r="BB33" s="143"/>
      <c r="BC33" s="143"/>
      <c r="BD33" s="144"/>
      <c r="BE33" s="142" t="s">
        <v>300</v>
      </c>
      <c r="BF33" s="143"/>
      <c r="BG33" s="143"/>
      <c r="BH33" s="143"/>
      <c r="BI33" s="144"/>
      <c r="BJ33" s="50"/>
      <c r="BL33" s="146"/>
      <c r="BM33" s="161"/>
      <c r="BN33" s="69"/>
      <c r="BO33" s="71"/>
      <c r="BP33" s="69"/>
      <c r="BQ33" s="71"/>
      <c r="BR33" s="69"/>
      <c r="BS33" s="71"/>
      <c r="BT33" s="74"/>
      <c r="BU33" s="74"/>
      <c r="BV33" s="74"/>
      <c r="BW33" s="74"/>
      <c r="BX33" s="66"/>
      <c r="BY33" s="193"/>
      <c r="BZ33" s="70"/>
      <c r="CA33" s="71"/>
      <c r="CB33" s="145"/>
      <c r="CC33" s="146"/>
      <c r="CD33" s="146"/>
      <c r="CE33" s="146"/>
      <c r="CF33" s="146"/>
      <c r="CG33" s="145"/>
      <c r="CH33" s="146"/>
      <c r="CI33" s="146"/>
      <c r="CJ33" s="146"/>
      <c r="CK33" s="146"/>
      <c r="CO33" s="146"/>
      <c r="CP33" s="161"/>
      <c r="CQ33" s="69"/>
      <c r="CR33" s="71"/>
      <c r="CS33" s="69"/>
      <c r="CT33" s="71"/>
      <c r="CU33" s="69"/>
      <c r="CV33" s="71"/>
      <c r="CW33" s="74"/>
      <c r="CX33" s="74"/>
      <c r="CY33" s="74"/>
      <c r="CZ33" s="74"/>
      <c r="DA33" s="74"/>
      <c r="DB33" s="69"/>
      <c r="DC33" s="70"/>
      <c r="DD33" s="71"/>
      <c r="DE33" s="145"/>
      <c r="DF33" s="146"/>
      <c r="DG33" s="146"/>
      <c r="DH33" s="146"/>
      <c r="DI33" s="146"/>
      <c r="DJ33" s="145"/>
      <c r="DK33" s="146"/>
      <c r="DL33" s="146"/>
      <c r="DM33" s="146"/>
      <c r="DN33" s="146"/>
      <c r="DQ33" s="146"/>
      <c r="DR33" s="161"/>
      <c r="DS33" s="69"/>
      <c r="DT33" s="71"/>
      <c r="DU33" s="69"/>
      <c r="DV33" s="71"/>
      <c r="DW33" s="69"/>
      <c r="DX33" s="71"/>
      <c r="DY33" s="176"/>
      <c r="DZ33" s="176"/>
      <c r="EA33" s="176"/>
      <c r="EB33" s="176"/>
      <c r="EC33" s="176"/>
      <c r="ED33" s="69"/>
      <c r="EE33" s="70"/>
      <c r="EF33" s="71"/>
      <c r="EG33" s="145"/>
      <c r="EH33" s="146"/>
      <c r="EI33" s="146"/>
      <c r="EJ33" s="146"/>
      <c r="EK33" s="146"/>
      <c r="EL33" s="145"/>
      <c r="EM33" s="146"/>
      <c r="EN33" s="146"/>
      <c r="EO33" s="146"/>
      <c r="EP33" s="146"/>
      <c r="ES33" s="95" t="s">
        <v>308</v>
      </c>
      <c r="ET33" s="96"/>
      <c r="EU33" s="248" t="s">
        <v>28</v>
      </c>
      <c r="EV33" s="96"/>
      <c r="EW33" s="248">
        <v>112</v>
      </c>
      <c r="EX33" s="96"/>
      <c r="EY33" s="248">
        <v>1512</v>
      </c>
      <c r="EZ33" s="96"/>
      <c r="FA33" s="249" t="s">
        <v>548</v>
      </c>
      <c r="FB33" s="249"/>
      <c r="FC33" s="249"/>
      <c r="FD33" s="249"/>
      <c r="FE33" s="249"/>
      <c r="FF33" s="248" t="s">
        <v>407</v>
      </c>
      <c r="FG33" s="95"/>
      <c r="FH33" s="96"/>
      <c r="FI33" s="248" t="s">
        <v>310</v>
      </c>
      <c r="FJ33" s="95"/>
      <c r="FK33" s="95"/>
      <c r="FL33" s="95"/>
      <c r="FM33" s="95"/>
      <c r="FN33" s="248" t="s">
        <v>297</v>
      </c>
      <c r="FO33" s="95"/>
      <c r="FP33" s="95"/>
      <c r="FQ33" s="95"/>
      <c r="FR33" s="95"/>
    </row>
    <row r="34" spans="2:174">
      <c r="B34" s="149" t="s">
        <v>293</v>
      </c>
      <c r="C34" s="150"/>
      <c r="D34" s="148" t="s">
        <v>28</v>
      </c>
      <c r="E34" s="150"/>
      <c r="F34" s="148" t="s">
        <v>524</v>
      </c>
      <c r="G34" s="150"/>
      <c r="H34" s="148" t="s">
        <v>512</v>
      </c>
      <c r="I34" s="150"/>
      <c r="J34" s="162" t="s">
        <v>535</v>
      </c>
      <c r="K34" s="162"/>
      <c r="L34" s="162"/>
      <c r="M34" s="162"/>
      <c r="N34" s="162"/>
      <c r="O34" s="148"/>
      <c r="P34" s="149"/>
      <c r="Q34" s="150"/>
      <c r="R34" s="148" t="s">
        <v>296</v>
      </c>
      <c r="S34" s="149"/>
      <c r="T34" s="149"/>
      <c r="U34" s="149"/>
      <c r="V34" s="170"/>
      <c r="W34" s="148" t="s">
        <v>297</v>
      </c>
      <c r="X34" s="149"/>
      <c r="Y34" s="149"/>
      <c r="Z34" s="149"/>
      <c r="AA34" s="149"/>
      <c r="AJ34" s="149" t="s">
        <v>298</v>
      </c>
      <c r="AK34" s="150"/>
      <c r="AL34" s="148" t="s">
        <v>28</v>
      </c>
      <c r="AM34" s="150"/>
      <c r="AN34" s="148" t="s">
        <v>351</v>
      </c>
      <c r="AO34" s="150"/>
      <c r="AP34" s="148" t="s">
        <v>352</v>
      </c>
      <c r="AQ34" s="150"/>
      <c r="AR34" s="74" t="s">
        <v>353</v>
      </c>
      <c r="AS34" s="74"/>
      <c r="AT34" s="74"/>
      <c r="AU34" s="74"/>
      <c r="AV34" s="74"/>
      <c r="AW34" s="148" t="s">
        <v>325</v>
      </c>
      <c r="AX34" s="149"/>
      <c r="AY34" s="150"/>
      <c r="AZ34" s="158" t="s">
        <v>296</v>
      </c>
      <c r="BA34" s="159"/>
      <c r="BB34" s="159"/>
      <c r="BC34" s="159"/>
      <c r="BD34" s="160"/>
      <c r="BE34" s="158" t="s">
        <v>300</v>
      </c>
      <c r="BF34" s="159"/>
      <c r="BG34" s="159"/>
      <c r="BH34" s="159"/>
      <c r="BI34" s="160"/>
      <c r="BJ34" s="50"/>
      <c r="BL34" s="146"/>
      <c r="BM34" s="161"/>
      <c r="BN34" s="69"/>
      <c r="BO34" s="71"/>
      <c r="BP34" s="69"/>
      <c r="BQ34" s="71"/>
      <c r="BR34" s="69"/>
      <c r="BS34" s="71"/>
      <c r="BT34" s="74"/>
      <c r="BU34" s="74"/>
      <c r="BV34" s="74"/>
      <c r="BW34" s="74"/>
      <c r="BX34" s="66"/>
      <c r="BY34" s="193"/>
      <c r="BZ34" s="70"/>
      <c r="CA34" s="71"/>
      <c r="CB34" s="145"/>
      <c r="CC34" s="146"/>
      <c r="CD34" s="146"/>
      <c r="CE34" s="146"/>
      <c r="CF34" s="146"/>
      <c r="CG34" s="145"/>
      <c r="CH34" s="146"/>
      <c r="CI34" s="146"/>
      <c r="CJ34" s="146"/>
      <c r="CK34" s="146"/>
      <c r="CO34" s="146"/>
      <c r="CP34" s="161"/>
      <c r="CQ34" s="69"/>
      <c r="CR34" s="71"/>
      <c r="CS34" s="69"/>
      <c r="CT34" s="71"/>
      <c r="CU34" s="69"/>
      <c r="CV34" s="71"/>
      <c r="CW34" s="74"/>
      <c r="CX34" s="74"/>
      <c r="CY34" s="74"/>
      <c r="CZ34" s="74"/>
      <c r="DA34" s="74"/>
      <c r="DB34" s="127"/>
      <c r="DC34" s="127"/>
      <c r="DD34" s="177"/>
      <c r="DE34" s="145"/>
      <c r="DF34" s="146"/>
      <c r="DG34" s="146"/>
      <c r="DH34" s="146"/>
      <c r="DI34" s="146"/>
      <c r="DJ34" s="145"/>
      <c r="DK34" s="146"/>
      <c r="DL34" s="146"/>
      <c r="DM34" s="146"/>
      <c r="DN34" s="146"/>
      <c r="DQ34" s="146"/>
      <c r="DR34" s="161"/>
      <c r="DS34" s="69"/>
      <c r="DT34" s="71"/>
      <c r="DU34" s="69"/>
      <c r="DV34" s="71"/>
      <c r="DW34" s="69"/>
      <c r="DX34" s="71"/>
      <c r="DY34" s="176"/>
      <c r="DZ34" s="176"/>
      <c r="EA34" s="176"/>
      <c r="EB34" s="176"/>
      <c r="EC34" s="176"/>
      <c r="ED34" s="127"/>
      <c r="EE34" s="127"/>
      <c r="EF34" s="177"/>
      <c r="EG34" s="145"/>
      <c r="EH34" s="146"/>
      <c r="EI34" s="146"/>
      <c r="EJ34" s="146"/>
      <c r="EK34" s="146"/>
      <c r="EL34" s="145"/>
      <c r="EM34" s="146"/>
      <c r="EN34" s="146"/>
      <c r="EO34" s="146"/>
      <c r="EP34" s="146"/>
      <c r="ES34" s="122"/>
      <c r="ET34" s="185"/>
      <c r="EU34" s="190"/>
      <c r="EV34" s="177"/>
      <c r="EW34" s="190"/>
      <c r="EX34" s="177"/>
      <c r="EY34" s="190"/>
      <c r="EZ34" s="177"/>
      <c r="FA34" s="187"/>
      <c r="FB34" s="187"/>
      <c r="FC34" s="187"/>
      <c r="FD34" s="187"/>
      <c r="FE34" s="187"/>
      <c r="FF34" s="127"/>
      <c r="FG34" s="127"/>
      <c r="FH34" s="177"/>
      <c r="FI34" s="168"/>
      <c r="FJ34" s="122"/>
      <c r="FK34" s="122"/>
      <c r="FL34" s="122"/>
      <c r="FM34" s="122"/>
      <c r="FN34" s="168"/>
      <c r="FO34" s="122"/>
      <c r="FP34" s="122"/>
      <c r="FQ34" s="122"/>
      <c r="FR34" s="122"/>
    </row>
    <row r="35" spans="2:174">
      <c r="B35" s="70" t="s">
        <v>293</v>
      </c>
      <c r="C35" s="71"/>
      <c r="D35" s="190" t="s">
        <v>28</v>
      </c>
      <c r="E35" s="177"/>
      <c r="F35" s="69" t="s">
        <v>525</v>
      </c>
      <c r="G35" s="71"/>
      <c r="H35" s="69" t="s">
        <v>530</v>
      </c>
      <c r="I35" s="71"/>
      <c r="J35" s="74" t="s">
        <v>535</v>
      </c>
      <c r="K35" s="74"/>
      <c r="L35" s="74"/>
      <c r="M35" s="74"/>
      <c r="N35" s="74"/>
      <c r="O35" s="69"/>
      <c r="P35" s="70"/>
      <c r="Q35" s="71"/>
      <c r="R35" s="168" t="s">
        <v>296</v>
      </c>
      <c r="S35" s="122"/>
      <c r="T35" s="122"/>
      <c r="U35" s="122"/>
      <c r="V35" s="169"/>
      <c r="W35" s="168" t="s">
        <v>297</v>
      </c>
      <c r="X35" s="122"/>
      <c r="Y35" s="122"/>
      <c r="Z35" s="122"/>
      <c r="AA35" s="122"/>
      <c r="AJ35" s="70" t="s">
        <v>298</v>
      </c>
      <c r="AK35" s="71"/>
      <c r="AL35" s="69" t="s">
        <v>28</v>
      </c>
      <c r="AM35" s="71"/>
      <c r="AN35" s="69" t="s">
        <v>354</v>
      </c>
      <c r="AO35" s="71"/>
      <c r="AP35" s="69" t="s">
        <v>355</v>
      </c>
      <c r="AQ35" s="71"/>
      <c r="AR35" s="74" t="s">
        <v>353</v>
      </c>
      <c r="AS35" s="74"/>
      <c r="AT35" s="74"/>
      <c r="AU35" s="74"/>
      <c r="AV35" s="74"/>
      <c r="AW35" s="69" t="s">
        <v>325</v>
      </c>
      <c r="AX35" s="70"/>
      <c r="AY35" s="71"/>
      <c r="AZ35" s="145" t="s">
        <v>296</v>
      </c>
      <c r="BA35" s="146"/>
      <c r="BB35" s="146"/>
      <c r="BC35" s="146"/>
      <c r="BD35" s="147"/>
      <c r="BE35" s="145" t="s">
        <v>300</v>
      </c>
      <c r="BF35" s="146"/>
      <c r="BG35" s="146"/>
      <c r="BH35" s="146"/>
      <c r="BI35" s="147"/>
      <c r="BJ35" s="50"/>
      <c r="BL35" s="146"/>
      <c r="BM35" s="161"/>
      <c r="BN35" s="69"/>
      <c r="BO35" s="71"/>
      <c r="BP35" s="69"/>
      <c r="BQ35" s="71"/>
      <c r="BR35" s="69"/>
      <c r="BS35" s="71"/>
      <c r="BT35" s="74"/>
      <c r="BU35" s="74"/>
      <c r="BV35" s="74"/>
      <c r="BW35" s="74"/>
      <c r="BX35" s="66"/>
      <c r="BY35" s="193"/>
      <c r="BZ35" s="70"/>
      <c r="CA35" s="71"/>
      <c r="CB35" s="145"/>
      <c r="CC35" s="146"/>
      <c r="CD35" s="146"/>
      <c r="CE35" s="146"/>
      <c r="CF35" s="146"/>
      <c r="CG35" s="145"/>
      <c r="CH35" s="146"/>
      <c r="CI35" s="146"/>
      <c r="CJ35" s="146"/>
      <c r="CK35" s="146"/>
      <c r="CO35" s="146"/>
      <c r="CP35" s="161"/>
      <c r="CQ35" s="69"/>
      <c r="CR35" s="71"/>
      <c r="CS35" s="69"/>
      <c r="CT35" s="71"/>
      <c r="CU35" s="69"/>
      <c r="CV35" s="71"/>
      <c r="CW35" s="74"/>
      <c r="CX35" s="74"/>
      <c r="CY35" s="74"/>
      <c r="CZ35" s="74"/>
      <c r="DA35" s="74"/>
      <c r="DB35" s="69"/>
      <c r="DC35" s="70"/>
      <c r="DD35" s="71"/>
      <c r="DE35" s="145"/>
      <c r="DF35" s="146"/>
      <c r="DG35" s="146"/>
      <c r="DH35" s="146"/>
      <c r="DI35" s="146"/>
      <c r="DJ35" s="145"/>
      <c r="DK35" s="146"/>
      <c r="DL35" s="146"/>
      <c r="DM35" s="146"/>
      <c r="DN35" s="146"/>
      <c r="DQ35" s="146"/>
      <c r="DR35" s="161"/>
      <c r="DS35" s="69"/>
      <c r="DT35" s="71"/>
      <c r="DU35" s="69"/>
      <c r="DV35" s="71"/>
      <c r="DW35" s="69"/>
      <c r="DX35" s="71"/>
      <c r="DY35" s="176"/>
      <c r="DZ35" s="176"/>
      <c r="EA35" s="176"/>
      <c r="EB35" s="176"/>
      <c r="EC35" s="176"/>
      <c r="ED35" s="69"/>
      <c r="EE35" s="70"/>
      <c r="EF35" s="71"/>
      <c r="EG35" s="145"/>
      <c r="EH35" s="146"/>
      <c r="EI35" s="146"/>
      <c r="EJ35" s="146"/>
      <c r="EK35" s="146"/>
      <c r="EL35" s="145"/>
      <c r="EM35" s="146"/>
      <c r="EN35" s="146"/>
      <c r="EO35" s="146"/>
      <c r="EP35" s="146"/>
      <c r="ES35" s="146"/>
      <c r="ET35" s="161"/>
      <c r="EU35" s="69"/>
      <c r="EV35" s="71"/>
      <c r="EW35" s="69"/>
      <c r="EX35" s="71"/>
      <c r="EY35" s="69"/>
      <c r="EZ35" s="71"/>
      <c r="FA35" s="176"/>
      <c r="FB35" s="176"/>
      <c r="FC35" s="176"/>
      <c r="FD35" s="176"/>
      <c r="FE35" s="176"/>
      <c r="FF35" s="69"/>
      <c r="FG35" s="70"/>
      <c r="FH35" s="71"/>
      <c r="FI35" s="145"/>
      <c r="FJ35" s="146"/>
      <c r="FK35" s="146"/>
      <c r="FL35" s="146"/>
      <c r="FM35" s="146"/>
      <c r="FN35" s="145"/>
      <c r="FO35" s="146"/>
      <c r="FP35" s="146"/>
      <c r="FQ35" s="146"/>
      <c r="FR35" s="146"/>
    </row>
    <row r="36" spans="2:174">
      <c r="B36" s="70" t="s">
        <v>293</v>
      </c>
      <c r="C36" s="71"/>
      <c r="D36" s="69" t="s">
        <v>28</v>
      </c>
      <c r="E36" s="71"/>
      <c r="F36" s="69" t="s">
        <v>526</v>
      </c>
      <c r="G36" s="71"/>
      <c r="H36" s="69" t="s">
        <v>531</v>
      </c>
      <c r="I36" s="71"/>
      <c r="J36" s="74" t="s">
        <v>535</v>
      </c>
      <c r="K36" s="74"/>
      <c r="L36" s="74"/>
      <c r="M36" s="74"/>
      <c r="N36" s="74"/>
      <c r="O36" s="69"/>
      <c r="P36" s="70"/>
      <c r="Q36" s="71"/>
      <c r="R36" s="168" t="s">
        <v>296</v>
      </c>
      <c r="S36" s="122"/>
      <c r="T36" s="122"/>
      <c r="U36" s="122"/>
      <c r="V36" s="169"/>
      <c r="W36" s="168" t="s">
        <v>297</v>
      </c>
      <c r="X36" s="122"/>
      <c r="Y36" s="122"/>
      <c r="Z36" s="122"/>
      <c r="AA36" s="122"/>
      <c r="AJ36" s="70" t="s">
        <v>298</v>
      </c>
      <c r="AK36" s="71"/>
      <c r="AL36" s="69" t="s">
        <v>28</v>
      </c>
      <c r="AM36" s="71"/>
      <c r="AN36" s="69" t="s">
        <v>356</v>
      </c>
      <c r="AO36" s="71"/>
      <c r="AP36" s="69" t="s">
        <v>357</v>
      </c>
      <c r="AQ36" s="71"/>
      <c r="AR36" s="74" t="s">
        <v>353</v>
      </c>
      <c r="AS36" s="74"/>
      <c r="AT36" s="74"/>
      <c r="AU36" s="74"/>
      <c r="AV36" s="74"/>
      <c r="AW36" s="69" t="s">
        <v>325</v>
      </c>
      <c r="AX36" s="70"/>
      <c r="AY36" s="71"/>
      <c r="AZ36" s="145" t="s">
        <v>296</v>
      </c>
      <c r="BA36" s="146"/>
      <c r="BB36" s="146"/>
      <c r="BC36" s="146"/>
      <c r="BD36" s="147"/>
      <c r="BE36" s="145" t="s">
        <v>300</v>
      </c>
      <c r="BF36" s="146"/>
      <c r="BG36" s="146"/>
      <c r="BH36" s="146"/>
      <c r="BI36" s="147"/>
      <c r="BJ36" s="50"/>
      <c r="BL36" s="146"/>
      <c r="BM36" s="161"/>
      <c r="BN36" s="69"/>
      <c r="BO36" s="71"/>
      <c r="BP36" s="69"/>
      <c r="BQ36" s="71"/>
      <c r="BR36" s="69"/>
      <c r="BS36" s="71"/>
      <c r="BT36" s="74"/>
      <c r="BU36" s="74"/>
      <c r="BV36" s="74"/>
      <c r="BW36" s="74"/>
      <c r="BX36" s="66"/>
      <c r="BY36" s="189"/>
      <c r="BZ36" s="127"/>
      <c r="CA36" s="177"/>
      <c r="CB36" s="145"/>
      <c r="CC36" s="146"/>
      <c r="CD36" s="146"/>
      <c r="CE36" s="146"/>
      <c r="CF36" s="146"/>
      <c r="CG36" s="145"/>
      <c r="CH36" s="146"/>
      <c r="CI36" s="146"/>
      <c r="CJ36" s="146"/>
      <c r="CK36" s="146"/>
      <c r="CO36" s="146"/>
      <c r="CP36" s="161"/>
      <c r="CQ36" s="69"/>
      <c r="CR36" s="71"/>
      <c r="CS36" s="69"/>
      <c r="CT36" s="71"/>
      <c r="CU36" s="69"/>
      <c r="CV36" s="71"/>
      <c r="CW36" s="74"/>
      <c r="CX36" s="74"/>
      <c r="CY36" s="74"/>
      <c r="CZ36" s="74"/>
      <c r="DA36" s="74"/>
      <c r="DB36" s="127"/>
      <c r="DC36" s="127"/>
      <c r="DD36" s="177"/>
      <c r="DE36" s="145"/>
      <c r="DF36" s="146"/>
      <c r="DG36" s="146"/>
      <c r="DH36" s="146"/>
      <c r="DI36" s="146"/>
      <c r="DJ36" s="145"/>
      <c r="DK36" s="146"/>
      <c r="DL36" s="146"/>
      <c r="DM36" s="146"/>
      <c r="DN36" s="146"/>
      <c r="DQ36" s="146"/>
      <c r="DR36" s="161"/>
      <c r="DS36" s="69"/>
      <c r="DT36" s="71"/>
      <c r="DU36" s="69"/>
      <c r="DV36" s="71"/>
      <c r="DW36" s="69"/>
      <c r="DX36" s="71"/>
      <c r="DY36" s="176"/>
      <c r="DZ36" s="176"/>
      <c r="EA36" s="176"/>
      <c r="EB36" s="176"/>
      <c r="EC36" s="176"/>
      <c r="ED36" s="127"/>
      <c r="EE36" s="127"/>
      <c r="EF36" s="177"/>
      <c r="EG36" s="145"/>
      <c r="EH36" s="146"/>
      <c r="EI36" s="146"/>
      <c r="EJ36" s="146"/>
      <c r="EK36" s="146"/>
      <c r="EL36" s="145"/>
      <c r="EM36" s="146"/>
      <c r="EN36" s="146"/>
      <c r="EO36" s="146"/>
      <c r="EP36" s="146"/>
      <c r="ES36" s="146"/>
      <c r="ET36" s="161"/>
      <c r="EU36" s="69"/>
      <c r="EV36" s="71"/>
      <c r="EW36" s="69"/>
      <c r="EX36" s="71"/>
      <c r="EY36" s="69"/>
      <c r="EZ36" s="71"/>
      <c r="FA36" s="176"/>
      <c r="FB36" s="176"/>
      <c r="FC36" s="176"/>
      <c r="FD36" s="176"/>
      <c r="FE36" s="176"/>
      <c r="FF36" s="127"/>
      <c r="FG36" s="127"/>
      <c r="FH36" s="177"/>
      <c r="FI36" s="145"/>
      <c r="FJ36" s="146"/>
      <c r="FK36" s="146"/>
      <c r="FL36" s="146"/>
      <c r="FM36" s="146"/>
      <c r="FN36" s="145"/>
      <c r="FO36" s="146"/>
      <c r="FP36" s="146"/>
      <c r="FQ36" s="146"/>
      <c r="FR36" s="146"/>
    </row>
    <row r="37" spans="2:174">
      <c r="B37" s="70" t="s">
        <v>293</v>
      </c>
      <c r="C37" s="71"/>
      <c r="D37" s="190" t="s">
        <v>28</v>
      </c>
      <c r="E37" s="177"/>
      <c r="F37" s="69" t="s">
        <v>527</v>
      </c>
      <c r="G37" s="71"/>
      <c r="H37" s="69" t="s">
        <v>532</v>
      </c>
      <c r="I37" s="71"/>
      <c r="J37" s="74" t="s">
        <v>535</v>
      </c>
      <c r="K37" s="74"/>
      <c r="L37" s="74"/>
      <c r="M37" s="74"/>
      <c r="N37" s="74"/>
      <c r="O37" s="69"/>
      <c r="P37" s="70"/>
      <c r="Q37" s="71"/>
      <c r="R37" s="165" t="s">
        <v>296</v>
      </c>
      <c r="S37" s="166"/>
      <c r="T37" s="166"/>
      <c r="U37" s="166"/>
      <c r="V37" s="167"/>
      <c r="W37" s="165" t="s">
        <v>297</v>
      </c>
      <c r="X37" s="166"/>
      <c r="Y37" s="166"/>
      <c r="Z37" s="166"/>
      <c r="AA37" s="166"/>
      <c r="AJ37" s="70" t="s">
        <v>298</v>
      </c>
      <c r="AK37" s="71"/>
      <c r="AL37" s="69" t="s">
        <v>28</v>
      </c>
      <c r="AM37" s="71"/>
      <c r="AN37" s="69" t="s">
        <v>358</v>
      </c>
      <c r="AO37" s="71"/>
      <c r="AP37" s="69" t="s">
        <v>359</v>
      </c>
      <c r="AQ37" s="71"/>
      <c r="AR37" s="74" t="s">
        <v>353</v>
      </c>
      <c r="AS37" s="74"/>
      <c r="AT37" s="74"/>
      <c r="AU37" s="74"/>
      <c r="AV37" s="74"/>
      <c r="AW37" s="69" t="s">
        <v>325</v>
      </c>
      <c r="AX37" s="70"/>
      <c r="AY37" s="71"/>
      <c r="AZ37" s="145" t="s">
        <v>296</v>
      </c>
      <c r="BA37" s="146"/>
      <c r="BB37" s="146"/>
      <c r="BC37" s="146"/>
      <c r="BD37" s="147"/>
      <c r="BE37" s="145" t="s">
        <v>300</v>
      </c>
      <c r="BF37" s="146"/>
      <c r="BG37" s="146"/>
      <c r="BH37" s="146"/>
      <c r="BI37" s="147"/>
      <c r="BJ37" s="50"/>
      <c r="BL37" s="146"/>
      <c r="BM37" s="161"/>
      <c r="BN37" s="69"/>
      <c r="BO37" s="71"/>
      <c r="BP37" s="69"/>
      <c r="BQ37" s="71"/>
      <c r="BR37" s="69"/>
      <c r="BS37" s="71"/>
      <c r="BT37" s="74"/>
      <c r="BU37" s="74"/>
      <c r="BV37" s="74"/>
      <c r="BW37" s="74"/>
      <c r="BX37" s="66"/>
      <c r="BY37" s="193"/>
      <c r="BZ37" s="70"/>
      <c r="CA37" s="71"/>
      <c r="CB37" s="145"/>
      <c r="CC37" s="146"/>
      <c r="CD37" s="146"/>
      <c r="CE37" s="146"/>
      <c r="CF37" s="146"/>
      <c r="CG37" s="145"/>
      <c r="CH37" s="146"/>
      <c r="CI37" s="146"/>
      <c r="CJ37" s="146"/>
      <c r="CK37" s="146"/>
      <c r="CO37" s="146"/>
      <c r="CP37" s="161"/>
      <c r="CQ37" s="69"/>
      <c r="CR37" s="71"/>
      <c r="CS37" s="69"/>
      <c r="CT37" s="71"/>
      <c r="CU37" s="69"/>
      <c r="CV37" s="71"/>
      <c r="CW37" s="74"/>
      <c r="CX37" s="74"/>
      <c r="CY37" s="74"/>
      <c r="CZ37" s="74"/>
      <c r="DA37" s="74"/>
      <c r="DB37" s="69"/>
      <c r="DC37" s="70"/>
      <c r="DD37" s="71"/>
      <c r="DE37" s="145"/>
      <c r="DF37" s="146"/>
      <c r="DG37" s="146"/>
      <c r="DH37" s="146"/>
      <c r="DI37" s="146"/>
      <c r="DJ37" s="145"/>
      <c r="DK37" s="146"/>
      <c r="DL37" s="146"/>
      <c r="DM37" s="146"/>
      <c r="DN37" s="146"/>
      <c r="DQ37" s="146"/>
      <c r="DR37" s="161"/>
      <c r="DS37" s="69"/>
      <c r="DT37" s="71"/>
      <c r="DU37" s="69"/>
      <c r="DV37" s="71"/>
      <c r="DW37" s="69"/>
      <c r="DX37" s="71"/>
      <c r="DY37" s="176"/>
      <c r="DZ37" s="176"/>
      <c r="EA37" s="176"/>
      <c r="EB37" s="176"/>
      <c r="EC37" s="176"/>
      <c r="ED37" s="69"/>
      <c r="EE37" s="70"/>
      <c r="EF37" s="71"/>
      <c r="EG37" s="145"/>
      <c r="EH37" s="146"/>
      <c r="EI37" s="146"/>
      <c r="EJ37" s="146"/>
      <c r="EK37" s="146"/>
      <c r="EL37" s="145"/>
      <c r="EM37" s="146"/>
      <c r="EN37" s="146"/>
      <c r="EO37" s="146"/>
      <c r="EP37" s="146"/>
      <c r="ES37" s="146"/>
      <c r="ET37" s="161"/>
      <c r="EU37" s="69"/>
      <c r="EV37" s="71"/>
      <c r="EW37" s="69"/>
      <c r="EX37" s="71"/>
      <c r="EY37" s="69"/>
      <c r="EZ37" s="71"/>
      <c r="FA37" s="176"/>
      <c r="FB37" s="176"/>
      <c r="FC37" s="176"/>
      <c r="FD37" s="176"/>
      <c r="FE37" s="176"/>
      <c r="FF37" s="69"/>
      <c r="FG37" s="70"/>
      <c r="FH37" s="71"/>
      <c r="FI37" s="145"/>
      <c r="FJ37" s="146"/>
      <c r="FK37" s="146"/>
      <c r="FL37" s="146"/>
      <c r="FM37" s="146"/>
      <c r="FN37" s="145"/>
      <c r="FO37" s="146"/>
      <c r="FP37" s="146"/>
      <c r="FQ37" s="146"/>
      <c r="FR37" s="146"/>
    </row>
    <row r="38" spans="2:174">
      <c r="B38" s="70" t="s">
        <v>293</v>
      </c>
      <c r="C38" s="71"/>
      <c r="D38" s="190" t="s">
        <v>28</v>
      </c>
      <c r="E38" s="177"/>
      <c r="F38" s="69" t="s">
        <v>528</v>
      </c>
      <c r="G38" s="71"/>
      <c r="H38" s="69" t="s">
        <v>533</v>
      </c>
      <c r="I38" s="71"/>
      <c r="J38" s="74" t="s">
        <v>535</v>
      </c>
      <c r="K38" s="74"/>
      <c r="L38" s="74"/>
      <c r="M38" s="74"/>
      <c r="N38" s="74"/>
      <c r="O38" s="69"/>
      <c r="P38" s="70"/>
      <c r="Q38" s="71"/>
      <c r="R38" s="168" t="s">
        <v>296</v>
      </c>
      <c r="S38" s="122"/>
      <c r="T38" s="122"/>
      <c r="U38" s="122"/>
      <c r="V38" s="169"/>
      <c r="W38" s="168" t="s">
        <v>297</v>
      </c>
      <c r="X38" s="122"/>
      <c r="Y38" s="122"/>
      <c r="Z38" s="122"/>
      <c r="AA38" s="122"/>
      <c r="AJ38" s="70" t="s">
        <v>298</v>
      </c>
      <c r="AK38" s="71"/>
      <c r="AL38" s="69" t="s">
        <v>28</v>
      </c>
      <c r="AM38" s="71"/>
      <c r="AN38" s="69">
        <v>110</v>
      </c>
      <c r="AO38" s="71"/>
      <c r="AP38" s="69">
        <v>1110</v>
      </c>
      <c r="AQ38" s="71"/>
      <c r="AR38" s="74" t="s">
        <v>353</v>
      </c>
      <c r="AS38" s="74"/>
      <c r="AT38" s="74"/>
      <c r="AU38" s="74"/>
      <c r="AV38" s="74"/>
      <c r="AW38" s="69" t="s">
        <v>325</v>
      </c>
      <c r="AX38" s="70"/>
      <c r="AY38" s="71"/>
      <c r="AZ38" s="145" t="s">
        <v>296</v>
      </c>
      <c r="BA38" s="146"/>
      <c r="BB38" s="146"/>
      <c r="BC38" s="146"/>
      <c r="BD38" s="147"/>
      <c r="BE38" s="145" t="s">
        <v>300</v>
      </c>
      <c r="BF38" s="146"/>
      <c r="BG38" s="146"/>
      <c r="BH38" s="146"/>
      <c r="BI38" s="147"/>
      <c r="BJ38" s="50"/>
      <c r="BL38" s="146"/>
      <c r="BM38" s="161"/>
      <c r="BN38" s="69"/>
      <c r="BO38" s="71"/>
      <c r="BP38" s="69"/>
      <c r="BQ38" s="71"/>
      <c r="BR38" s="69"/>
      <c r="BS38" s="71"/>
      <c r="BT38" s="74"/>
      <c r="BU38" s="74"/>
      <c r="BV38" s="74"/>
      <c r="BW38" s="74"/>
      <c r="BX38" s="66"/>
      <c r="BY38" s="193"/>
      <c r="BZ38" s="70"/>
      <c r="CA38" s="71"/>
      <c r="CB38" s="145"/>
      <c r="CC38" s="146"/>
      <c r="CD38" s="146"/>
      <c r="CE38" s="146"/>
      <c r="CF38" s="146"/>
      <c r="CG38" s="145"/>
      <c r="CH38" s="146"/>
      <c r="CI38" s="146"/>
      <c r="CJ38" s="146"/>
      <c r="CK38" s="146"/>
      <c r="CO38" s="146"/>
      <c r="CP38" s="161"/>
      <c r="CQ38" s="69"/>
      <c r="CR38" s="71"/>
      <c r="CS38" s="69"/>
      <c r="CT38" s="71"/>
      <c r="CU38" s="69"/>
      <c r="CV38" s="71"/>
      <c r="CW38" s="74"/>
      <c r="CX38" s="74"/>
      <c r="CY38" s="74"/>
      <c r="CZ38" s="74"/>
      <c r="DA38" s="74"/>
      <c r="DB38" s="127"/>
      <c r="DC38" s="127"/>
      <c r="DD38" s="177"/>
      <c r="DE38" s="145"/>
      <c r="DF38" s="146"/>
      <c r="DG38" s="146"/>
      <c r="DH38" s="146"/>
      <c r="DI38" s="146"/>
      <c r="DJ38" s="145"/>
      <c r="DK38" s="146"/>
      <c r="DL38" s="146"/>
      <c r="DM38" s="146"/>
      <c r="DN38" s="146"/>
      <c r="DQ38" s="146"/>
      <c r="DR38" s="161"/>
      <c r="DS38" s="69"/>
      <c r="DT38" s="71"/>
      <c r="DU38" s="69"/>
      <c r="DV38" s="71"/>
      <c r="DW38" s="69"/>
      <c r="DX38" s="71"/>
      <c r="DY38" s="176"/>
      <c r="DZ38" s="176"/>
      <c r="EA38" s="176"/>
      <c r="EB38" s="176"/>
      <c r="EC38" s="176"/>
      <c r="ED38" s="127"/>
      <c r="EE38" s="127"/>
      <c r="EF38" s="177"/>
      <c r="EG38" s="145"/>
      <c r="EH38" s="146"/>
      <c r="EI38" s="146"/>
      <c r="EJ38" s="146"/>
      <c r="EK38" s="146"/>
      <c r="EL38" s="145"/>
      <c r="EM38" s="146"/>
      <c r="EN38" s="146"/>
      <c r="EO38" s="146"/>
      <c r="EP38" s="146"/>
      <c r="ES38" s="146"/>
      <c r="ET38" s="161"/>
      <c r="EU38" s="69"/>
      <c r="EV38" s="71"/>
      <c r="EW38" s="69"/>
      <c r="EX38" s="71"/>
      <c r="EY38" s="69"/>
      <c r="EZ38" s="71"/>
      <c r="FA38" s="176"/>
      <c r="FB38" s="176"/>
      <c r="FC38" s="176"/>
      <c r="FD38" s="176"/>
      <c r="FE38" s="176"/>
      <c r="FF38" s="127"/>
      <c r="FG38" s="127"/>
      <c r="FH38" s="177"/>
      <c r="FI38" s="145"/>
      <c r="FJ38" s="146"/>
      <c r="FK38" s="146"/>
      <c r="FL38" s="146"/>
      <c r="FM38" s="146"/>
      <c r="FN38" s="145"/>
      <c r="FO38" s="146"/>
      <c r="FP38" s="146"/>
      <c r="FQ38" s="146"/>
      <c r="FR38" s="146"/>
    </row>
    <row r="39" spans="2:174">
      <c r="B39" s="89" t="s">
        <v>293</v>
      </c>
      <c r="C39" s="90"/>
      <c r="D39" s="88" t="s">
        <v>28</v>
      </c>
      <c r="E39" s="90"/>
      <c r="F39" s="88" t="s">
        <v>529</v>
      </c>
      <c r="G39" s="90"/>
      <c r="H39" s="88" t="s">
        <v>534</v>
      </c>
      <c r="I39" s="90"/>
      <c r="J39" s="151" t="s">
        <v>535</v>
      </c>
      <c r="K39" s="151"/>
      <c r="L39" s="151"/>
      <c r="M39" s="151"/>
      <c r="N39" s="151"/>
      <c r="O39" s="88"/>
      <c r="P39" s="89"/>
      <c r="Q39" s="90"/>
      <c r="R39" s="163" t="s">
        <v>296</v>
      </c>
      <c r="S39" s="164"/>
      <c r="T39" s="164"/>
      <c r="U39" s="164"/>
      <c r="V39" s="171"/>
      <c r="W39" s="163" t="s">
        <v>297</v>
      </c>
      <c r="X39" s="164"/>
      <c r="Y39" s="164"/>
      <c r="Z39" s="164"/>
      <c r="AA39" s="164"/>
      <c r="AJ39" s="89" t="s">
        <v>298</v>
      </c>
      <c r="AK39" s="90"/>
      <c r="AL39" s="88" t="s">
        <v>28</v>
      </c>
      <c r="AM39" s="90"/>
      <c r="AN39" s="88">
        <v>111</v>
      </c>
      <c r="AO39" s="90"/>
      <c r="AP39" s="88">
        <v>1111</v>
      </c>
      <c r="AQ39" s="90"/>
      <c r="AR39" s="74" t="s">
        <v>353</v>
      </c>
      <c r="AS39" s="74"/>
      <c r="AT39" s="74"/>
      <c r="AU39" s="74"/>
      <c r="AV39" s="74"/>
      <c r="AW39" s="88" t="s">
        <v>325</v>
      </c>
      <c r="AX39" s="89"/>
      <c r="AY39" s="90"/>
      <c r="AZ39" s="142" t="s">
        <v>296</v>
      </c>
      <c r="BA39" s="143"/>
      <c r="BB39" s="143"/>
      <c r="BC39" s="143"/>
      <c r="BD39" s="144"/>
      <c r="BE39" s="142" t="s">
        <v>300</v>
      </c>
      <c r="BF39" s="143"/>
      <c r="BG39" s="143"/>
      <c r="BH39" s="143"/>
      <c r="BI39" s="144"/>
      <c r="BJ39" s="50"/>
      <c r="BL39" s="146"/>
      <c r="BM39" s="161"/>
      <c r="BN39" s="69"/>
      <c r="BO39" s="71"/>
      <c r="BP39" s="69"/>
      <c r="BQ39" s="71"/>
      <c r="BR39" s="69"/>
      <c r="BS39" s="71"/>
      <c r="BT39" s="74"/>
      <c r="BU39" s="74"/>
      <c r="BV39" s="74"/>
      <c r="BW39" s="74"/>
      <c r="BX39" s="66"/>
      <c r="BY39" s="193"/>
      <c r="BZ39" s="70"/>
      <c r="CA39" s="71"/>
      <c r="CB39" s="145"/>
      <c r="CC39" s="146"/>
      <c r="CD39" s="146"/>
      <c r="CE39" s="146"/>
      <c r="CF39" s="146"/>
      <c r="CG39" s="145"/>
      <c r="CH39" s="146"/>
      <c r="CI39" s="146"/>
      <c r="CJ39" s="146"/>
      <c r="CK39" s="146"/>
      <c r="CO39" s="146"/>
      <c r="CP39" s="161"/>
      <c r="CQ39" s="69"/>
      <c r="CR39" s="71"/>
      <c r="CS39" s="69"/>
      <c r="CT39" s="71"/>
      <c r="CU39" s="69"/>
      <c r="CV39" s="71"/>
      <c r="CW39" s="74"/>
      <c r="CX39" s="74"/>
      <c r="CY39" s="74"/>
      <c r="CZ39" s="74"/>
      <c r="DA39" s="74"/>
      <c r="DB39" s="69"/>
      <c r="DC39" s="70"/>
      <c r="DD39" s="71"/>
      <c r="DE39" s="145"/>
      <c r="DF39" s="146"/>
      <c r="DG39" s="146"/>
      <c r="DH39" s="146"/>
      <c r="DI39" s="146"/>
      <c r="DJ39" s="145"/>
      <c r="DK39" s="146"/>
      <c r="DL39" s="146"/>
      <c r="DM39" s="146"/>
      <c r="DN39" s="146"/>
      <c r="DQ39" s="146"/>
      <c r="DR39" s="161"/>
      <c r="DS39" s="69"/>
      <c r="DT39" s="71"/>
      <c r="DU39" s="69"/>
      <c r="DV39" s="71"/>
      <c r="DW39" s="69"/>
      <c r="DX39" s="71"/>
      <c r="DY39" s="176"/>
      <c r="DZ39" s="176"/>
      <c r="EA39" s="176"/>
      <c r="EB39" s="176"/>
      <c r="EC39" s="176"/>
      <c r="ED39" s="69"/>
      <c r="EE39" s="70"/>
      <c r="EF39" s="71"/>
      <c r="EG39" s="145"/>
      <c r="EH39" s="146"/>
      <c r="EI39" s="146"/>
      <c r="EJ39" s="146"/>
      <c r="EK39" s="146"/>
      <c r="EL39" s="145"/>
      <c r="EM39" s="146"/>
      <c r="EN39" s="146"/>
      <c r="EO39" s="146"/>
      <c r="EP39" s="146"/>
      <c r="ES39" s="146"/>
      <c r="ET39" s="161"/>
      <c r="EU39" s="69"/>
      <c r="EV39" s="71"/>
      <c r="EW39" s="69"/>
      <c r="EX39" s="71"/>
      <c r="EY39" s="69"/>
      <c r="EZ39" s="71"/>
      <c r="FA39" s="176"/>
      <c r="FB39" s="176"/>
      <c r="FC39" s="176"/>
      <c r="FD39" s="176"/>
      <c r="FE39" s="176"/>
      <c r="FF39" s="69"/>
      <c r="FG39" s="70"/>
      <c r="FH39" s="71"/>
      <c r="FI39" s="145"/>
      <c r="FJ39" s="146"/>
      <c r="FK39" s="146"/>
      <c r="FL39" s="146"/>
      <c r="FM39" s="146"/>
      <c r="FN39" s="145"/>
      <c r="FO39" s="146"/>
      <c r="FP39" s="146"/>
      <c r="FQ39" s="146"/>
      <c r="FR39" s="146"/>
    </row>
    <row r="40" spans="2:174">
      <c r="B40" s="127"/>
      <c r="C40" s="177"/>
      <c r="D40" s="190"/>
      <c r="E40" s="177"/>
      <c r="F40" s="61"/>
      <c r="G40" s="62"/>
      <c r="H40" s="190"/>
      <c r="I40" s="177"/>
      <c r="J40" s="196"/>
      <c r="K40" s="196"/>
      <c r="L40" s="196"/>
      <c r="M40" s="196"/>
      <c r="N40" s="196"/>
      <c r="O40" s="190"/>
      <c r="P40" s="127"/>
      <c r="Q40" s="177"/>
      <c r="R40" s="168"/>
      <c r="S40" s="122"/>
      <c r="T40" s="122"/>
      <c r="U40" s="122"/>
      <c r="V40" s="169"/>
      <c r="W40" s="168"/>
      <c r="X40" s="122"/>
      <c r="Y40" s="122"/>
      <c r="Z40" s="122"/>
      <c r="AA40" s="122"/>
      <c r="AJ40" s="149" t="s">
        <v>298</v>
      </c>
      <c r="AK40" s="150"/>
      <c r="AL40" s="148" t="s">
        <v>28</v>
      </c>
      <c r="AM40" s="150"/>
      <c r="AN40" s="148">
        <v>112</v>
      </c>
      <c r="AO40" s="150"/>
      <c r="AP40" s="148">
        <v>1112</v>
      </c>
      <c r="AQ40" s="150"/>
      <c r="AR40" s="162" t="s">
        <v>360</v>
      </c>
      <c r="AS40" s="162"/>
      <c r="AT40" s="162"/>
      <c r="AU40" s="162"/>
      <c r="AV40" s="162"/>
      <c r="AW40" s="148" t="s">
        <v>334</v>
      </c>
      <c r="AX40" s="149"/>
      <c r="AY40" s="150"/>
      <c r="AZ40" s="158" t="s">
        <v>296</v>
      </c>
      <c r="BA40" s="159"/>
      <c r="BB40" s="159"/>
      <c r="BC40" s="159"/>
      <c r="BD40" s="160"/>
      <c r="BE40" s="158" t="s">
        <v>300</v>
      </c>
      <c r="BF40" s="159"/>
      <c r="BG40" s="159"/>
      <c r="BH40" s="159"/>
      <c r="BI40" s="160"/>
      <c r="BJ40" s="50"/>
      <c r="BL40" s="146"/>
      <c r="BM40" s="161"/>
      <c r="BN40" s="69"/>
      <c r="BO40" s="71"/>
      <c r="BP40" s="69"/>
      <c r="BQ40" s="71"/>
      <c r="BR40" s="69"/>
      <c r="BS40" s="71"/>
      <c r="BT40" s="74"/>
      <c r="BU40" s="74"/>
      <c r="BV40" s="74"/>
      <c r="BW40" s="74"/>
      <c r="BX40" s="66"/>
      <c r="BY40" s="193"/>
      <c r="BZ40" s="70"/>
      <c r="CA40" s="71"/>
      <c r="CB40" s="145"/>
      <c r="CC40" s="146"/>
      <c r="CD40" s="146"/>
      <c r="CE40" s="146"/>
      <c r="CF40" s="146"/>
      <c r="CG40" s="145"/>
      <c r="CH40" s="146"/>
      <c r="CI40" s="146"/>
      <c r="CJ40" s="146"/>
      <c r="CK40" s="146"/>
      <c r="CO40" s="146"/>
      <c r="CP40" s="161"/>
      <c r="CQ40" s="69"/>
      <c r="CR40" s="71"/>
      <c r="CS40" s="69"/>
      <c r="CT40" s="71"/>
      <c r="CU40" s="69"/>
      <c r="CV40" s="71"/>
      <c r="CW40" s="74"/>
      <c r="CX40" s="74"/>
      <c r="CY40" s="74"/>
      <c r="CZ40" s="74"/>
      <c r="DA40" s="74"/>
      <c r="DB40" s="127"/>
      <c r="DC40" s="127"/>
      <c r="DD40" s="177"/>
      <c r="DE40" s="145"/>
      <c r="DF40" s="146"/>
      <c r="DG40" s="146"/>
      <c r="DH40" s="146"/>
      <c r="DI40" s="146"/>
      <c r="DJ40" s="145"/>
      <c r="DK40" s="146"/>
      <c r="DL40" s="146"/>
      <c r="DM40" s="146"/>
      <c r="DN40" s="146"/>
      <c r="DQ40" s="146"/>
      <c r="DR40" s="161"/>
      <c r="DS40" s="69"/>
      <c r="DT40" s="71"/>
      <c r="DU40" s="69"/>
      <c r="DV40" s="71"/>
      <c r="DW40" s="69"/>
      <c r="DX40" s="71"/>
      <c r="DY40" s="176"/>
      <c r="DZ40" s="176"/>
      <c r="EA40" s="176"/>
      <c r="EB40" s="176"/>
      <c r="EC40" s="176"/>
      <c r="ED40" s="127"/>
      <c r="EE40" s="127"/>
      <c r="EF40" s="177"/>
      <c r="EG40" s="145"/>
      <c r="EH40" s="146"/>
      <c r="EI40" s="146"/>
      <c r="EJ40" s="146"/>
      <c r="EK40" s="146"/>
      <c r="EL40" s="145"/>
      <c r="EM40" s="146"/>
      <c r="EN40" s="146"/>
      <c r="EO40" s="146"/>
      <c r="EP40" s="146"/>
      <c r="ES40" s="146"/>
      <c r="ET40" s="161"/>
      <c r="EU40" s="69"/>
      <c r="EV40" s="71"/>
      <c r="EW40" s="69"/>
      <c r="EX40" s="71"/>
      <c r="EY40" s="69"/>
      <c r="EZ40" s="71"/>
      <c r="FA40" s="176"/>
      <c r="FB40" s="176"/>
      <c r="FC40" s="176"/>
      <c r="FD40" s="176"/>
      <c r="FE40" s="176"/>
      <c r="FF40" s="69"/>
      <c r="FG40" s="70"/>
      <c r="FH40" s="71"/>
      <c r="FI40" s="145"/>
      <c r="FJ40" s="146"/>
      <c r="FK40" s="146"/>
      <c r="FL40" s="146"/>
      <c r="FM40" s="146"/>
      <c r="FN40" s="145"/>
      <c r="FO40" s="146"/>
      <c r="FP40" s="146"/>
      <c r="FQ40" s="146"/>
      <c r="FR40" s="146"/>
    </row>
    <row r="41" spans="2:174">
      <c r="B41" s="70"/>
      <c r="C41" s="71"/>
      <c r="D41" s="69"/>
      <c r="E41" s="71"/>
      <c r="F41" s="63"/>
      <c r="G41" s="64"/>
      <c r="H41" s="69"/>
      <c r="I41" s="71"/>
      <c r="J41" s="74"/>
      <c r="K41" s="74"/>
      <c r="L41" s="74"/>
      <c r="M41" s="74"/>
      <c r="N41" s="74"/>
      <c r="O41" s="69"/>
      <c r="P41" s="70"/>
      <c r="Q41" s="71"/>
      <c r="R41" s="165"/>
      <c r="S41" s="166"/>
      <c r="T41" s="166"/>
      <c r="U41" s="166"/>
      <c r="V41" s="167"/>
      <c r="W41" s="165"/>
      <c r="X41" s="166"/>
      <c r="Y41" s="166"/>
      <c r="Z41" s="166"/>
      <c r="AA41" s="166"/>
      <c r="AJ41" s="70" t="s">
        <v>298</v>
      </c>
      <c r="AK41" s="71"/>
      <c r="AL41" s="69" t="s">
        <v>28</v>
      </c>
      <c r="AM41" s="71"/>
      <c r="AN41" s="69">
        <v>113</v>
      </c>
      <c r="AO41" s="71"/>
      <c r="AP41" s="69">
        <v>1113</v>
      </c>
      <c r="AQ41" s="71"/>
      <c r="AR41" s="74" t="s">
        <v>360</v>
      </c>
      <c r="AS41" s="74"/>
      <c r="AT41" s="74"/>
      <c r="AU41" s="74"/>
      <c r="AV41" s="74"/>
      <c r="AW41" s="69" t="s">
        <v>334</v>
      </c>
      <c r="AX41" s="70"/>
      <c r="AY41" s="71"/>
      <c r="AZ41" s="145" t="s">
        <v>296</v>
      </c>
      <c r="BA41" s="146"/>
      <c r="BB41" s="146"/>
      <c r="BC41" s="146"/>
      <c r="BD41" s="147"/>
      <c r="BE41" s="145" t="s">
        <v>300</v>
      </c>
      <c r="BF41" s="146"/>
      <c r="BG41" s="146"/>
      <c r="BH41" s="146"/>
      <c r="BI41" s="147"/>
      <c r="BJ41" s="50"/>
      <c r="BL41" s="146"/>
      <c r="BM41" s="161"/>
      <c r="BN41" s="69"/>
      <c r="BO41" s="71"/>
      <c r="BP41" s="69"/>
      <c r="BQ41" s="71"/>
      <c r="BR41" s="69"/>
      <c r="BS41" s="71"/>
      <c r="BT41" s="74"/>
      <c r="BU41" s="74"/>
      <c r="BV41" s="74"/>
      <c r="BW41" s="74"/>
      <c r="BX41" s="66"/>
      <c r="BY41" s="193"/>
      <c r="BZ41" s="70"/>
      <c r="CA41" s="71"/>
      <c r="CB41" s="145"/>
      <c r="CC41" s="146"/>
      <c r="CD41" s="146"/>
      <c r="CE41" s="146"/>
      <c r="CF41" s="146"/>
      <c r="CG41" s="145"/>
      <c r="CH41" s="146"/>
      <c r="CI41" s="146"/>
      <c r="CJ41" s="146"/>
      <c r="CK41" s="146"/>
      <c r="CO41" s="146"/>
      <c r="CP41" s="161"/>
      <c r="CQ41" s="69"/>
      <c r="CR41" s="71"/>
      <c r="CS41" s="69"/>
      <c r="CT41" s="71"/>
      <c r="CU41" s="69"/>
      <c r="CV41" s="71"/>
      <c r="CW41" s="74"/>
      <c r="CX41" s="74"/>
      <c r="CY41" s="74"/>
      <c r="CZ41" s="74"/>
      <c r="DA41" s="74"/>
      <c r="DB41" s="69"/>
      <c r="DC41" s="70"/>
      <c r="DD41" s="71"/>
      <c r="DE41" s="145"/>
      <c r="DF41" s="146"/>
      <c r="DG41" s="146"/>
      <c r="DH41" s="146"/>
      <c r="DI41" s="146"/>
      <c r="DJ41" s="145"/>
      <c r="DK41" s="146"/>
      <c r="DL41" s="146"/>
      <c r="DM41" s="146"/>
      <c r="DN41" s="146"/>
      <c r="DQ41" s="146"/>
      <c r="DR41" s="161"/>
      <c r="DS41" s="69"/>
      <c r="DT41" s="71"/>
      <c r="DU41" s="69"/>
      <c r="DV41" s="71"/>
      <c r="DW41" s="69"/>
      <c r="DX41" s="71"/>
      <c r="DY41" s="176"/>
      <c r="DZ41" s="176"/>
      <c r="EA41" s="176"/>
      <c r="EB41" s="176"/>
      <c r="EC41" s="176"/>
      <c r="ED41" s="69"/>
      <c r="EE41" s="70"/>
      <c r="EF41" s="71"/>
      <c r="EG41" s="145"/>
      <c r="EH41" s="146"/>
      <c r="EI41" s="146"/>
      <c r="EJ41" s="146"/>
      <c r="EK41" s="146"/>
      <c r="EL41" s="145"/>
      <c r="EM41" s="146"/>
      <c r="EN41" s="146"/>
      <c r="EO41" s="146"/>
      <c r="EP41" s="146"/>
      <c r="ES41" s="146"/>
      <c r="ET41" s="161"/>
      <c r="EU41" s="69"/>
      <c r="EV41" s="71"/>
      <c r="EW41" s="69"/>
      <c r="EX41" s="71"/>
      <c r="EY41" s="69"/>
      <c r="EZ41" s="71"/>
      <c r="FA41" s="176"/>
      <c r="FB41" s="176"/>
      <c r="FC41" s="176"/>
      <c r="FD41" s="176"/>
      <c r="FE41" s="176"/>
      <c r="FF41" s="69"/>
      <c r="FG41" s="70"/>
      <c r="FH41" s="71"/>
      <c r="FI41" s="145"/>
      <c r="FJ41" s="146"/>
      <c r="FK41" s="146"/>
      <c r="FL41" s="146"/>
      <c r="FM41" s="146"/>
      <c r="FN41" s="145"/>
      <c r="FO41" s="146"/>
      <c r="FP41" s="146"/>
      <c r="FQ41" s="146"/>
      <c r="FR41" s="146"/>
    </row>
    <row r="42" spans="2:174">
      <c r="B42" s="70"/>
      <c r="C42" s="71"/>
      <c r="D42" s="69"/>
      <c r="E42" s="71"/>
      <c r="F42" s="63"/>
      <c r="G42" s="64"/>
      <c r="H42" s="63"/>
      <c r="I42" s="64"/>
      <c r="J42" s="74"/>
      <c r="K42" s="74"/>
      <c r="L42" s="74"/>
      <c r="M42" s="74"/>
      <c r="N42" s="74"/>
      <c r="O42" s="69"/>
      <c r="P42" s="70"/>
      <c r="Q42" s="71"/>
      <c r="R42" s="168"/>
      <c r="S42" s="122"/>
      <c r="T42" s="122"/>
      <c r="U42" s="122"/>
      <c r="V42" s="169"/>
      <c r="W42" s="168"/>
      <c r="X42" s="122"/>
      <c r="Y42" s="122"/>
      <c r="Z42" s="122"/>
      <c r="AA42" s="122"/>
      <c r="AJ42" s="70" t="s">
        <v>298</v>
      </c>
      <c r="AK42" s="71"/>
      <c r="AL42" s="69" t="s">
        <v>28</v>
      </c>
      <c r="AM42" s="71"/>
      <c r="AN42" s="69">
        <v>114</v>
      </c>
      <c r="AO42" s="71"/>
      <c r="AP42" s="69">
        <v>1114</v>
      </c>
      <c r="AQ42" s="71"/>
      <c r="AR42" s="74" t="s">
        <v>360</v>
      </c>
      <c r="AS42" s="74"/>
      <c r="AT42" s="74"/>
      <c r="AU42" s="74"/>
      <c r="AV42" s="74"/>
      <c r="AW42" s="69" t="s">
        <v>334</v>
      </c>
      <c r="AX42" s="70"/>
      <c r="AY42" s="71"/>
      <c r="AZ42" s="145" t="s">
        <v>296</v>
      </c>
      <c r="BA42" s="146"/>
      <c r="BB42" s="146"/>
      <c r="BC42" s="146"/>
      <c r="BD42" s="147"/>
      <c r="BE42" s="145" t="s">
        <v>300</v>
      </c>
      <c r="BF42" s="146"/>
      <c r="BG42" s="146"/>
      <c r="BH42" s="146"/>
      <c r="BI42" s="147"/>
      <c r="BJ42" s="50"/>
      <c r="BL42" s="146"/>
      <c r="BM42" s="161"/>
      <c r="BN42" s="69"/>
      <c r="BO42" s="71"/>
      <c r="BP42" s="69"/>
      <c r="BQ42" s="71"/>
      <c r="BR42" s="69"/>
      <c r="BS42" s="71"/>
      <c r="BT42" s="74"/>
      <c r="BU42" s="74"/>
      <c r="BV42" s="74"/>
      <c r="BW42" s="74"/>
      <c r="BX42" s="66"/>
      <c r="BY42" s="193"/>
      <c r="BZ42" s="70"/>
      <c r="CA42" s="71"/>
      <c r="CB42" s="145"/>
      <c r="CC42" s="146"/>
      <c r="CD42" s="146"/>
      <c r="CE42" s="146"/>
      <c r="CF42" s="146"/>
      <c r="CG42" s="145"/>
      <c r="CH42" s="146"/>
      <c r="CI42" s="146"/>
      <c r="CJ42" s="146"/>
      <c r="CK42" s="146"/>
      <c r="CO42" s="146"/>
      <c r="CP42" s="161"/>
      <c r="CQ42" s="69"/>
      <c r="CR42" s="71"/>
      <c r="CS42" s="69"/>
      <c r="CT42" s="71"/>
      <c r="CU42" s="69"/>
      <c r="CV42" s="71"/>
      <c r="CW42" s="74"/>
      <c r="CX42" s="74"/>
      <c r="CY42" s="74"/>
      <c r="CZ42" s="74"/>
      <c r="DA42" s="74"/>
      <c r="DB42" s="69"/>
      <c r="DC42" s="70"/>
      <c r="DD42" s="71"/>
      <c r="DE42" s="145"/>
      <c r="DF42" s="146"/>
      <c r="DG42" s="146"/>
      <c r="DH42" s="146"/>
      <c r="DI42" s="146"/>
      <c r="DJ42" s="145"/>
      <c r="DK42" s="146"/>
      <c r="DL42" s="146"/>
      <c r="DM42" s="146"/>
      <c r="DN42" s="146"/>
      <c r="DQ42" s="146"/>
      <c r="DR42" s="161"/>
      <c r="DS42" s="69"/>
      <c r="DT42" s="71"/>
      <c r="DU42" s="69"/>
      <c r="DV42" s="71"/>
      <c r="DW42" s="69"/>
      <c r="DX42" s="71"/>
      <c r="DY42" s="176"/>
      <c r="DZ42" s="176"/>
      <c r="EA42" s="176"/>
      <c r="EB42" s="176"/>
      <c r="EC42" s="176"/>
      <c r="ED42" s="69"/>
      <c r="EE42" s="70"/>
      <c r="EF42" s="71"/>
      <c r="EG42" s="145"/>
      <c r="EH42" s="146"/>
      <c r="EI42" s="146"/>
      <c r="EJ42" s="146"/>
      <c r="EK42" s="146"/>
      <c r="EL42" s="145"/>
      <c r="EM42" s="146"/>
      <c r="EN42" s="146"/>
      <c r="EO42" s="146"/>
      <c r="EP42" s="146"/>
      <c r="ES42" s="146"/>
      <c r="ET42" s="161"/>
      <c r="EU42" s="69"/>
      <c r="EV42" s="71"/>
      <c r="EW42" s="69"/>
      <c r="EX42" s="71"/>
      <c r="EY42" s="69"/>
      <c r="EZ42" s="71"/>
      <c r="FA42" s="176"/>
      <c r="FB42" s="176"/>
      <c r="FC42" s="176"/>
      <c r="FD42" s="176"/>
      <c r="FE42" s="176"/>
      <c r="FF42" s="69"/>
      <c r="FG42" s="70"/>
      <c r="FH42" s="71"/>
      <c r="FI42" s="145"/>
      <c r="FJ42" s="146"/>
      <c r="FK42" s="146"/>
      <c r="FL42" s="146"/>
      <c r="FM42" s="146"/>
      <c r="FN42" s="145"/>
      <c r="FO42" s="146"/>
      <c r="FP42" s="146"/>
      <c r="FQ42" s="146"/>
      <c r="FR42" s="146"/>
    </row>
    <row r="43" spans="2:174">
      <c r="B43" s="70"/>
      <c r="C43" s="71"/>
      <c r="D43" s="69"/>
      <c r="E43" s="71"/>
      <c r="F43" s="69"/>
      <c r="G43" s="71"/>
      <c r="H43" s="63"/>
      <c r="I43" s="64"/>
      <c r="J43" s="74"/>
      <c r="K43" s="74"/>
      <c r="L43" s="74"/>
      <c r="M43" s="74"/>
      <c r="N43" s="74"/>
      <c r="O43" s="69"/>
      <c r="P43" s="70"/>
      <c r="Q43" s="71"/>
      <c r="R43" s="165"/>
      <c r="S43" s="166"/>
      <c r="T43" s="166"/>
      <c r="U43" s="166"/>
      <c r="V43" s="167"/>
      <c r="W43" s="165"/>
      <c r="X43" s="166"/>
      <c r="Y43" s="166"/>
      <c r="Z43" s="166"/>
      <c r="AA43" s="166"/>
      <c r="AJ43" s="70" t="s">
        <v>298</v>
      </c>
      <c r="AK43" s="71"/>
      <c r="AL43" s="69" t="s">
        <v>28</v>
      </c>
      <c r="AM43" s="71"/>
      <c r="AN43" s="69">
        <v>115</v>
      </c>
      <c r="AO43" s="71"/>
      <c r="AP43" s="69">
        <v>1115</v>
      </c>
      <c r="AQ43" s="71"/>
      <c r="AR43" s="74" t="s">
        <v>360</v>
      </c>
      <c r="AS43" s="74"/>
      <c r="AT43" s="74"/>
      <c r="AU43" s="74"/>
      <c r="AV43" s="74"/>
      <c r="AW43" s="69" t="s">
        <v>334</v>
      </c>
      <c r="AX43" s="70"/>
      <c r="AY43" s="71"/>
      <c r="AZ43" s="145" t="s">
        <v>296</v>
      </c>
      <c r="BA43" s="146"/>
      <c r="BB43" s="146"/>
      <c r="BC43" s="146"/>
      <c r="BD43" s="147"/>
      <c r="BE43" s="145" t="s">
        <v>300</v>
      </c>
      <c r="BF43" s="146"/>
      <c r="BG43" s="146"/>
      <c r="BH43" s="146"/>
      <c r="BI43" s="147"/>
      <c r="BJ43" s="50"/>
      <c r="BL43" s="146"/>
      <c r="BM43" s="161"/>
      <c r="BN43" s="69"/>
      <c r="BO43" s="71"/>
      <c r="BP43" s="69"/>
      <c r="BQ43" s="71"/>
      <c r="BR43" s="69"/>
      <c r="BS43" s="71"/>
      <c r="BT43" s="74"/>
      <c r="BU43" s="74"/>
      <c r="BV43" s="74"/>
      <c r="BW43" s="74"/>
      <c r="BX43" s="66"/>
      <c r="BY43" s="193"/>
      <c r="BZ43" s="70"/>
      <c r="CA43" s="71"/>
      <c r="CB43" s="145"/>
      <c r="CC43" s="146"/>
      <c r="CD43" s="146"/>
      <c r="CE43" s="146"/>
      <c r="CF43" s="146"/>
      <c r="CG43" s="145"/>
      <c r="CH43" s="146"/>
      <c r="CI43" s="146"/>
      <c r="CJ43" s="146"/>
      <c r="CK43" s="146"/>
      <c r="CO43" s="146"/>
      <c r="CP43" s="161"/>
      <c r="CQ43" s="69"/>
      <c r="CR43" s="71"/>
      <c r="CS43" s="69"/>
      <c r="CT43" s="71"/>
      <c r="CU43" s="69"/>
      <c r="CV43" s="71"/>
      <c r="CW43" s="74"/>
      <c r="CX43" s="74"/>
      <c r="CY43" s="74"/>
      <c r="CZ43" s="74"/>
      <c r="DA43" s="74"/>
      <c r="DB43" s="69"/>
      <c r="DC43" s="70"/>
      <c r="DD43" s="71"/>
      <c r="DE43" s="145"/>
      <c r="DF43" s="146"/>
      <c r="DG43" s="146"/>
      <c r="DH43" s="146"/>
      <c r="DI43" s="146"/>
      <c r="DJ43" s="145"/>
      <c r="DK43" s="146"/>
      <c r="DL43" s="146"/>
      <c r="DM43" s="146"/>
      <c r="DN43" s="146"/>
      <c r="DQ43" s="146"/>
      <c r="DR43" s="161"/>
      <c r="DS43" s="69"/>
      <c r="DT43" s="71"/>
      <c r="DU43" s="69"/>
      <c r="DV43" s="71"/>
      <c r="DW43" s="69"/>
      <c r="DX43" s="71"/>
      <c r="DY43" s="176"/>
      <c r="DZ43" s="176"/>
      <c r="EA43" s="176"/>
      <c r="EB43" s="176"/>
      <c r="EC43" s="176"/>
      <c r="ED43" s="69"/>
      <c r="EE43" s="70"/>
      <c r="EF43" s="71"/>
      <c r="EG43" s="145"/>
      <c r="EH43" s="146"/>
      <c r="EI43" s="146"/>
      <c r="EJ43" s="146"/>
      <c r="EK43" s="146"/>
      <c r="EL43" s="145"/>
      <c r="EM43" s="146"/>
      <c r="EN43" s="146"/>
      <c r="EO43" s="146"/>
      <c r="EP43" s="146"/>
      <c r="ES43" s="146"/>
      <c r="ET43" s="161"/>
      <c r="EU43" s="69"/>
      <c r="EV43" s="71"/>
      <c r="EW43" s="69"/>
      <c r="EX43" s="71"/>
      <c r="EY43" s="69"/>
      <c r="EZ43" s="71"/>
      <c r="FA43" s="176"/>
      <c r="FB43" s="176"/>
      <c r="FC43" s="176"/>
      <c r="FD43" s="176"/>
      <c r="FE43" s="176"/>
      <c r="FF43" s="69"/>
      <c r="FG43" s="70"/>
      <c r="FH43" s="71"/>
      <c r="FI43" s="145"/>
      <c r="FJ43" s="146"/>
      <c r="FK43" s="146"/>
      <c r="FL43" s="146"/>
      <c r="FM43" s="146"/>
      <c r="FN43" s="145"/>
      <c r="FO43" s="146"/>
      <c r="FP43" s="146"/>
      <c r="FQ43" s="146"/>
      <c r="FR43" s="146"/>
    </row>
    <row r="44" spans="2:174">
      <c r="B44" s="70"/>
      <c r="C44" s="71"/>
      <c r="D44" s="69"/>
      <c r="E44" s="71"/>
      <c r="F44" s="69"/>
      <c r="G44" s="71"/>
      <c r="H44" s="63"/>
      <c r="I44" s="64"/>
      <c r="J44" s="74"/>
      <c r="K44" s="74"/>
      <c r="L44" s="74"/>
      <c r="M44" s="74"/>
      <c r="N44" s="74"/>
      <c r="O44" s="69"/>
      <c r="P44" s="70"/>
      <c r="Q44" s="71"/>
      <c r="R44" s="168"/>
      <c r="S44" s="122"/>
      <c r="T44" s="122"/>
      <c r="U44" s="122"/>
      <c r="V44" s="169"/>
      <c r="W44" s="168"/>
      <c r="X44" s="122"/>
      <c r="Y44" s="122"/>
      <c r="Z44" s="122"/>
      <c r="AA44" s="122"/>
      <c r="AJ44" s="70" t="s">
        <v>298</v>
      </c>
      <c r="AK44" s="71"/>
      <c r="AL44" s="69" t="s">
        <v>28</v>
      </c>
      <c r="AM44" s="71"/>
      <c r="AN44" s="69">
        <v>116</v>
      </c>
      <c r="AO44" s="71"/>
      <c r="AP44" s="69">
        <v>1116</v>
      </c>
      <c r="AQ44" s="71"/>
      <c r="AR44" s="74" t="s">
        <v>360</v>
      </c>
      <c r="AS44" s="74"/>
      <c r="AT44" s="74"/>
      <c r="AU44" s="74"/>
      <c r="AV44" s="74"/>
      <c r="AW44" s="69" t="s">
        <v>334</v>
      </c>
      <c r="AX44" s="70"/>
      <c r="AY44" s="71"/>
      <c r="AZ44" s="145" t="s">
        <v>296</v>
      </c>
      <c r="BA44" s="146"/>
      <c r="BB44" s="146"/>
      <c r="BC44" s="146"/>
      <c r="BD44" s="147"/>
      <c r="BE44" s="145" t="s">
        <v>300</v>
      </c>
      <c r="BF44" s="146"/>
      <c r="BG44" s="146"/>
      <c r="BH44" s="146"/>
      <c r="BI44" s="147"/>
      <c r="BJ44" s="50"/>
      <c r="BL44" s="146"/>
      <c r="BM44" s="161"/>
      <c r="BN44" s="69"/>
      <c r="BO44" s="71"/>
      <c r="BP44" s="69"/>
      <c r="BQ44" s="71"/>
      <c r="BR44" s="69"/>
      <c r="BS44" s="71"/>
      <c r="BT44" s="74"/>
      <c r="BU44" s="74"/>
      <c r="BV44" s="74"/>
      <c r="BW44" s="74"/>
      <c r="BX44" s="66"/>
      <c r="BY44" s="193"/>
      <c r="BZ44" s="70"/>
      <c r="CA44" s="71"/>
      <c r="CB44" s="145"/>
      <c r="CC44" s="146"/>
      <c r="CD44" s="146"/>
      <c r="CE44" s="146"/>
      <c r="CF44" s="146"/>
      <c r="CG44" s="145"/>
      <c r="CH44" s="146"/>
      <c r="CI44" s="146"/>
      <c r="CJ44" s="146"/>
      <c r="CK44" s="146"/>
      <c r="CO44" s="146"/>
      <c r="CP44" s="161"/>
      <c r="CQ44" s="69"/>
      <c r="CR44" s="71"/>
      <c r="CS44" s="69"/>
      <c r="CT44" s="71"/>
      <c r="CU44" s="69"/>
      <c r="CV44" s="71"/>
      <c r="CW44" s="74"/>
      <c r="CX44" s="74"/>
      <c r="CY44" s="74"/>
      <c r="CZ44" s="74"/>
      <c r="DA44" s="74"/>
      <c r="DB44" s="69"/>
      <c r="DC44" s="70"/>
      <c r="DD44" s="71"/>
      <c r="DE44" s="145"/>
      <c r="DF44" s="146"/>
      <c r="DG44" s="146"/>
      <c r="DH44" s="146"/>
      <c r="DI44" s="146"/>
      <c r="DJ44" s="145"/>
      <c r="DK44" s="146"/>
      <c r="DL44" s="146"/>
      <c r="DM44" s="146"/>
      <c r="DN44" s="146"/>
      <c r="DQ44" s="146"/>
      <c r="DR44" s="161"/>
      <c r="DS44" s="69"/>
      <c r="DT44" s="71"/>
      <c r="DU44" s="69"/>
      <c r="DV44" s="71"/>
      <c r="DW44" s="69"/>
      <c r="DX44" s="71"/>
      <c r="DY44" s="176"/>
      <c r="DZ44" s="176"/>
      <c r="EA44" s="176"/>
      <c r="EB44" s="176"/>
      <c r="EC44" s="176"/>
      <c r="ED44" s="69"/>
      <c r="EE44" s="70"/>
      <c r="EF44" s="71"/>
      <c r="EG44" s="145"/>
      <c r="EH44" s="146"/>
      <c r="EI44" s="146"/>
      <c r="EJ44" s="146"/>
      <c r="EK44" s="146"/>
      <c r="EL44" s="145"/>
      <c r="EM44" s="146"/>
      <c r="EN44" s="146"/>
      <c r="EO44" s="146"/>
      <c r="EP44" s="146"/>
      <c r="ES44" s="70"/>
      <c r="ET44" s="71"/>
      <c r="EU44" s="69"/>
      <c r="EV44" s="71"/>
      <c r="EW44" s="69"/>
      <c r="EX44" s="71"/>
      <c r="EY44" s="69"/>
      <c r="EZ44" s="71"/>
      <c r="FA44" s="176"/>
      <c r="FB44" s="176"/>
      <c r="FC44" s="176"/>
      <c r="FD44" s="176"/>
      <c r="FE44" s="176"/>
      <c r="FF44" s="69"/>
      <c r="FG44" s="70"/>
      <c r="FH44" s="71"/>
      <c r="FI44" s="145"/>
      <c r="FJ44" s="146"/>
      <c r="FK44" s="146"/>
      <c r="FL44" s="146"/>
      <c r="FM44" s="146"/>
      <c r="FN44" s="145"/>
      <c r="FO44" s="146"/>
      <c r="FP44" s="146"/>
      <c r="FQ44" s="146"/>
      <c r="FR44" s="146"/>
    </row>
    <row r="45" spans="2:174">
      <c r="B45" s="70"/>
      <c r="C45" s="71"/>
      <c r="D45" s="69"/>
      <c r="E45" s="71"/>
      <c r="F45" s="69"/>
      <c r="G45" s="71"/>
      <c r="H45" s="63"/>
      <c r="I45" s="64"/>
      <c r="J45" s="74"/>
      <c r="K45" s="74"/>
      <c r="L45" s="74"/>
      <c r="M45" s="74"/>
      <c r="N45" s="74"/>
      <c r="O45" s="69"/>
      <c r="P45" s="70"/>
      <c r="Q45" s="71"/>
      <c r="R45" s="165"/>
      <c r="S45" s="166"/>
      <c r="T45" s="166"/>
      <c r="U45" s="166"/>
      <c r="V45" s="167"/>
      <c r="W45" s="165"/>
      <c r="X45" s="166"/>
      <c r="Y45" s="166"/>
      <c r="Z45" s="166"/>
      <c r="AA45" s="166"/>
      <c r="AJ45" s="89" t="s">
        <v>298</v>
      </c>
      <c r="AK45" s="90"/>
      <c r="AL45" s="88" t="s">
        <v>28</v>
      </c>
      <c r="AM45" s="90"/>
      <c r="AN45" s="88">
        <v>117</v>
      </c>
      <c r="AO45" s="90"/>
      <c r="AP45" s="88">
        <v>1117</v>
      </c>
      <c r="AQ45" s="90"/>
      <c r="AR45" s="151" t="s">
        <v>360</v>
      </c>
      <c r="AS45" s="151"/>
      <c r="AT45" s="151"/>
      <c r="AU45" s="151"/>
      <c r="AV45" s="151"/>
      <c r="AW45" s="88" t="s">
        <v>334</v>
      </c>
      <c r="AX45" s="89"/>
      <c r="AY45" s="90"/>
      <c r="AZ45" s="142" t="s">
        <v>296</v>
      </c>
      <c r="BA45" s="143"/>
      <c r="BB45" s="143"/>
      <c r="BC45" s="143"/>
      <c r="BD45" s="144"/>
      <c r="BE45" s="142" t="s">
        <v>300</v>
      </c>
      <c r="BF45" s="143"/>
      <c r="BG45" s="143"/>
      <c r="BH45" s="143"/>
      <c r="BI45" s="144"/>
      <c r="BJ45" s="50"/>
      <c r="BL45" s="146"/>
      <c r="BM45" s="161"/>
      <c r="BN45" s="69"/>
      <c r="BO45" s="71"/>
      <c r="BP45" s="69"/>
      <c r="BQ45" s="71"/>
      <c r="BR45" s="69"/>
      <c r="BS45" s="71"/>
      <c r="BT45" s="74"/>
      <c r="BU45" s="74"/>
      <c r="BV45" s="74"/>
      <c r="BW45" s="74"/>
      <c r="BX45" s="66"/>
      <c r="BY45" s="193"/>
      <c r="BZ45" s="70"/>
      <c r="CA45" s="71"/>
      <c r="CB45" s="145"/>
      <c r="CC45" s="146"/>
      <c r="CD45" s="146"/>
      <c r="CE45" s="146"/>
      <c r="CF45" s="146"/>
      <c r="CG45" s="145"/>
      <c r="CH45" s="146"/>
      <c r="CI45" s="146"/>
      <c r="CJ45" s="146"/>
      <c r="CK45" s="146"/>
      <c r="CO45" s="146"/>
      <c r="CP45" s="161"/>
      <c r="CQ45" s="69"/>
      <c r="CR45" s="71"/>
      <c r="CS45" s="69"/>
      <c r="CT45" s="71"/>
      <c r="CU45" s="69"/>
      <c r="CV45" s="71"/>
      <c r="CW45" s="74"/>
      <c r="CX45" s="74"/>
      <c r="CY45" s="74"/>
      <c r="CZ45" s="74"/>
      <c r="DA45" s="74"/>
      <c r="DB45" s="69"/>
      <c r="DC45" s="70"/>
      <c r="DD45" s="71"/>
      <c r="DE45" s="145"/>
      <c r="DF45" s="146"/>
      <c r="DG45" s="146"/>
      <c r="DH45" s="146"/>
      <c r="DI45" s="146"/>
      <c r="DJ45" s="145"/>
      <c r="DK45" s="146"/>
      <c r="DL45" s="146"/>
      <c r="DM45" s="146"/>
      <c r="DN45" s="146"/>
      <c r="DQ45" s="146"/>
      <c r="DR45" s="161"/>
      <c r="DS45" s="69"/>
      <c r="DT45" s="71"/>
      <c r="DU45" s="69"/>
      <c r="DV45" s="71"/>
      <c r="DW45" s="69"/>
      <c r="DX45" s="71"/>
      <c r="DY45" s="176"/>
      <c r="DZ45" s="176"/>
      <c r="EA45" s="176"/>
      <c r="EB45" s="176"/>
      <c r="EC45" s="176"/>
      <c r="ED45" s="69"/>
      <c r="EE45" s="70"/>
      <c r="EF45" s="71"/>
      <c r="EG45" s="145"/>
      <c r="EH45" s="146"/>
      <c r="EI45" s="146"/>
      <c r="EJ45" s="146"/>
      <c r="EK45" s="146"/>
      <c r="EL45" s="145"/>
      <c r="EM45" s="146"/>
      <c r="EN45" s="146"/>
      <c r="EO45" s="146"/>
      <c r="EP45" s="146"/>
      <c r="ES45" s="70"/>
      <c r="ET45" s="71"/>
      <c r="EU45" s="69"/>
      <c r="EV45" s="71"/>
      <c r="EW45" s="69"/>
      <c r="EX45" s="71"/>
      <c r="EY45" s="69"/>
      <c r="EZ45" s="71"/>
      <c r="FA45" s="176"/>
      <c r="FB45" s="176"/>
      <c r="FC45" s="176"/>
      <c r="FD45" s="176"/>
      <c r="FE45" s="176"/>
      <c r="FF45" s="69"/>
      <c r="FG45" s="70"/>
      <c r="FH45" s="71"/>
      <c r="FI45" s="145"/>
      <c r="FJ45" s="146"/>
      <c r="FK45" s="146"/>
      <c r="FL45" s="146"/>
      <c r="FM45" s="146"/>
      <c r="FN45" s="145"/>
      <c r="FO45" s="146"/>
      <c r="FP45" s="146"/>
      <c r="FQ45" s="146"/>
      <c r="FR45" s="146"/>
    </row>
    <row r="46" spans="2:174">
      <c r="B46" s="70"/>
      <c r="C46" s="71"/>
      <c r="D46" s="69"/>
      <c r="E46" s="71"/>
      <c r="F46" s="69"/>
      <c r="G46" s="71"/>
      <c r="H46" s="63"/>
      <c r="I46" s="64"/>
      <c r="J46" s="74"/>
      <c r="K46" s="74"/>
      <c r="L46" s="74"/>
      <c r="M46" s="74"/>
      <c r="N46" s="74"/>
      <c r="O46" s="69"/>
      <c r="P46" s="70"/>
      <c r="Q46" s="71"/>
      <c r="R46" s="145"/>
      <c r="S46" s="146"/>
      <c r="T46" s="146"/>
      <c r="U46" s="146"/>
      <c r="V46" s="146"/>
      <c r="W46" s="145"/>
      <c r="X46" s="146"/>
      <c r="Y46" s="146"/>
      <c r="Z46" s="146"/>
      <c r="AA46" s="146"/>
      <c r="AJ46" s="146"/>
      <c r="AK46" s="161"/>
      <c r="AL46" s="69"/>
      <c r="AM46" s="71"/>
      <c r="AN46" s="69"/>
      <c r="AO46" s="71"/>
      <c r="AP46" s="190"/>
      <c r="AQ46" s="177"/>
      <c r="AR46" s="196"/>
      <c r="AS46" s="196"/>
      <c r="AT46" s="196"/>
      <c r="AU46" s="196"/>
      <c r="AV46" s="196"/>
      <c r="AW46" s="69"/>
      <c r="AX46" s="70"/>
      <c r="AY46" s="71"/>
      <c r="AZ46" s="145"/>
      <c r="BA46" s="146"/>
      <c r="BB46" s="146"/>
      <c r="BC46" s="146"/>
      <c r="BD46" s="147"/>
      <c r="BE46" s="145"/>
      <c r="BF46" s="146"/>
      <c r="BG46" s="146"/>
      <c r="BH46" s="146"/>
      <c r="BI46" s="146"/>
      <c r="BJ46" s="50"/>
      <c r="BL46" s="70"/>
      <c r="BM46" s="71"/>
      <c r="BN46" s="69"/>
      <c r="BO46" s="71"/>
      <c r="BP46" s="69"/>
      <c r="BQ46" s="71"/>
      <c r="BR46" s="69"/>
      <c r="BS46" s="71"/>
      <c r="BT46" s="74"/>
      <c r="BU46" s="74"/>
      <c r="BV46" s="74"/>
      <c r="BW46" s="74"/>
      <c r="BX46" s="66"/>
      <c r="BY46" s="193"/>
      <c r="BZ46" s="70"/>
      <c r="CA46" s="71"/>
      <c r="CB46" s="145"/>
      <c r="CC46" s="146"/>
      <c r="CD46" s="146"/>
      <c r="CE46" s="146"/>
      <c r="CF46" s="146"/>
      <c r="CG46" s="145"/>
      <c r="CH46" s="146"/>
      <c r="CI46" s="146"/>
      <c r="CJ46" s="146"/>
      <c r="CK46" s="146"/>
      <c r="CO46" s="70"/>
      <c r="CP46" s="71"/>
      <c r="CQ46" s="69"/>
      <c r="CR46" s="71"/>
      <c r="CS46" s="69"/>
      <c r="CT46" s="71"/>
      <c r="CU46" s="69"/>
      <c r="CV46" s="71"/>
      <c r="CW46" s="74"/>
      <c r="CX46" s="74"/>
      <c r="CY46" s="74"/>
      <c r="CZ46" s="74"/>
      <c r="DA46" s="74"/>
      <c r="DB46" s="69"/>
      <c r="DC46" s="70"/>
      <c r="DD46" s="71"/>
      <c r="DE46" s="145"/>
      <c r="DF46" s="146"/>
      <c r="DG46" s="146"/>
      <c r="DH46" s="146"/>
      <c r="DI46" s="146"/>
      <c r="DJ46" s="145"/>
      <c r="DK46" s="146"/>
      <c r="DL46" s="146"/>
      <c r="DM46" s="146"/>
      <c r="DN46" s="146"/>
      <c r="DQ46" s="70"/>
      <c r="DR46" s="71"/>
      <c r="DS46" s="69"/>
      <c r="DT46" s="71"/>
      <c r="DU46" s="69"/>
      <c r="DV46" s="71"/>
      <c r="DW46" s="69"/>
      <c r="DX46" s="71"/>
      <c r="DY46" s="176"/>
      <c r="DZ46" s="176"/>
      <c r="EA46" s="176"/>
      <c r="EB46" s="176"/>
      <c r="EC46" s="176"/>
      <c r="ED46" s="69"/>
      <c r="EE46" s="70"/>
      <c r="EF46" s="71"/>
      <c r="EG46" s="145"/>
      <c r="EH46" s="146"/>
      <c r="EI46" s="146"/>
      <c r="EJ46" s="146"/>
      <c r="EK46" s="146"/>
      <c r="EL46" s="145"/>
      <c r="EM46" s="146"/>
      <c r="EN46" s="146"/>
      <c r="EO46" s="146"/>
      <c r="EP46" s="146"/>
      <c r="ES46" s="70"/>
      <c r="ET46" s="71"/>
      <c r="EU46" s="69"/>
      <c r="EV46" s="71"/>
      <c r="EW46" s="69"/>
      <c r="EX46" s="71"/>
      <c r="EY46" s="69"/>
      <c r="EZ46" s="71"/>
      <c r="FA46" s="176"/>
      <c r="FB46" s="176"/>
      <c r="FC46" s="176"/>
      <c r="FD46" s="176"/>
      <c r="FE46" s="176"/>
      <c r="FF46" s="69"/>
      <c r="FG46" s="70"/>
      <c r="FH46" s="71"/>
      <c r="FI46" s="145"/>
      <c r="FJ46" s="146"/>
      <c r="FK46" s="146"/>
      <c r="FL46" s="146"/>
      <c r="FM46" s="146"/>
      <c r="FN46" s="145"/>
      <c r="FO46" s="146"/>
      <c r="FP46" s="146"/>
      <c r="FQ46" s="146"/>
      <c r="FR46" s="146"/>
    </row>
    <row r="47" spans="2:174">
      <c r="B47" s="70"/>
      <c r="C47" s="71"/>
      <c r="D47" s="69"/>
      <c r="E47" s="71"/>
      <c r="F47" s="69"/>
      <c r="G47" s="71"/>
      <c r="H47" s="63"/>
      <c r="I47" s="64"/>
      <c r="J47" s="74"/>
      <c r="K47" s="74"/>
      <c r="L47" s="74"/>
      <c r="M47" s="74"/>
      <c r="N47" s="74"/>
      <c r="O47" s="69"/>
      <c r="P47" s="70"/>
      <c r="Q47" s="71"/>
      <c r="R47" s="145"/>
      <c r="S47" s="146"/>
      <c r="T47" s="146"/>
      <c r="U47" s="146"/>
      <c r="V47" s="146"/>
      <c r="W47" s="145"/>
      <c r="X47" s="146"/>
      <c r="Y47" s="146"/>
      <c r="Z47" s="146"/>
      <c r="AA47" s="146"/>
      <c r="AJ47" s="146"/>
      <c r="AK47" s="161"/>
      <c r="AL47" s="69"/>
      <c r="AM47" s="71"/>
      <c r="AN47" s="69"/>
      <c r="AO47" s="71"/>
      <c r="AP47" s="69"/>
      <c r="AQ47" s="71"/>
      <c r="AR47" s="74"/>
      <c r="AS47" s="74"/>
      <c r="AT47" s="74"/>
      <c r="AU47" s="74"/>
      <c r="AV47" s="74"/>
      <c r="AW47" s="69"/>
      <c r="AX47" s="70"/>
      <c r="AY47" s="71"/>
      <c r="AZ47" s="145"/>
      <c r="BA47" s="146"/>
      <c r="BB47" s="146"/>
      <c r="BC47" s="146"/>
      <c r="BD47" s="147"/>
      <c r="BE47" s="145"/>
      <c r="BF47" s="146"/>
      <c r="BG47" s="146"/>
      <c r="BH47" s="146"/>
      <c r="BI47" s="146"/>
      <c r="BJ47" s="50"/>
      <c r="BL47" s="70"/>
      <c r="BM47" s="71"/>
      <c r="BN47" s="69"/>
      <c r="BO47" s="71"/>
      <c r="BP47" s="69"/>
      <c r="BQ47" s="71"/>
      <c r="BR47" s="69"/>
      <c r="BS47" s="71"/>
      <c r="BT47" s="74"/>
      <c r="BU47" s="74"/>
      <c r="BV47" s="74"/>
      <c r="BW47" s="74"/>
      <c r="BX47" s="66"/>
      <c r="BY47" s="193"/>
      <c r="BZ47" s="70"/>
      <c r="CA47" s="71"/>
      <c r="CB47" s="145"/>
      <c r="CC47" s="146"/>
      <c r="CD47" s="146"/>
      <c r="CE47" s="146"/>
      <c r="CF47" s="146"/>
      <c r="CG47" s="145"/>
      <c r="CH47" s="146"/>
      <c r="CI47" s="146"/>
      <c r="CJ47" s="146"/>
      <c r="CK47" s="146"/>
      <c r="CO47" s="70"/>
      <c r="CP47" s="71"/>
      <c r="CQ47" s="69"/>
      <c r="CR47" s="71"/>
      <c r="CS47" s="69"/>
      <c r="CT47" s="71"/>
      <c r="CU47" s="69"/>
      <c r="CV47" s="71"/>
      <c r="CW47" s="74"/>
      <c r="CX47" s="74"/>
      <c r="CY47" s="74"/>
      <c r="CZ47" s="74"/>
      <c r="DA47" s="74"/>
      <c r="DB47" s="69"/>
      <c r="DC47" s="70"/>
      <c r="DD47" s="71"/>
      <c r="DE47" s="145"/>
      <c r="DF47" s="146"/>
      <c r="DG47" s="146"/>
      <c r="DH47" s="146"/>
      <c r="DI47" s="146"/>
      <c r="DJ47" s="145"/>
      <c r="DK47" s="146"/>
      <c r="DL47" s="146"/>
      <c r="DM47" s="146"/>
      <c r="DN47" s="146"/>
      <c r="DQ47" s="70"/>
      <c r="DR47" s="71"/>
      <c r="DS47" s="69"/>
      <c r="DT47" s="71"/>
      <c r="DU47" s="69"/>
      <c r="DV47" s="71"/>
      <c r="DW47" s="69"/>
      <c r="DX47" s="71"/>
      <c r="DY47" s="176"/>
      <c r="DZ47" s="176"/>
      <c r="EA47" s="176"/>
      <c r="EB47" s="176"/>
      <c r="EC47" s="176"/>
      <c r="ED47" s="69"/>
      <c r="EE47" s="70"/>
      <c r="EF47" s="71"/>
      <c r="EG47" s="145"/>
      <c r="EH47" s="146"/>
      <c r="EI47" s="146"/>
      <c r="EJ47" s="146"/>
      <c r="EK47" s="146"/>
      <c r="EL47" s="145"/>
      <c r="EM47" s="146"/>
      <c r="EN47" s="146"/>
      <c r="EO47" s="146"/>
      <c r="EP47" s="146"/>
      <c r="ES47" s="70"/>
      <c r="ET47" s="71"/>
      <c r="EU47" s="69"/>
      <c r="EV47" s="71"/>
      <c r="EW47" s="69"/>
      <c r="EX47" s="71"/>
      <c r="EY47" s="69"/>
      <c r="EZ47" s="71"/>
      <c r="FA47" s="176"/>
      <c r="FB47" s="176"/>
      <c r="FC47" s="176"/>
      <c r="FD47" s="176"/>
      <c r="FE47" s="176"/>
      <c r="FF47" s="69"/>
      <c r="FG47" s="70"/>
      <c r="FH47" s="71"/>
      <c r="FI47" s="145"/>
      <c r="FJ47" s="146"/>
      <c r="FK47" s="146"/>
      <c r="FL47" s="146"/>
      <c r="FM47" s="146"/>
      <c r="FN47" s="145"/>
      <c r="FO47" s="146"/>
      <c r="FP47" s="146"/>
      <c r="FQ47" s="146"/>
      <c r="FR47" s="146"/>
    </row>
    <row r="48" spans="2:174">
      <c r="B48" s="70"/>
      <c r="C48" s="71"/>
      <c r="D48" s="69"/>
      <c r="E48" s="71"/>
      <c r="F48" s="69"/>
      <c r="G48" s="71"/>
      <c r="H48" s="63"/>
      <c r="I48" s="64"/>
      <c r="J48" s="74"/>
      <c r="K48" s="74"/>
      <c r="L48" s="74"/>
      <c r="M48" s="74"/>
      <c r="N48" s="74"/>
      <c r="O48" s="69"/>
      <c r="P48" s="70"/>
      <c r="Q48" s="71"/>
      <c r="R48" s="145"/>
      <c r="S48" s="146"/>
      <c r="T48" s="146"/>
      <c r="U48" s="146"/>
      <c r="V48" s="146"/>
      <c r="W48" s="145"/>
      <c r="X48" s="146"/>
      <c r="Y48" s="146"/>
      <c r="Z48" s="146"/>
      <c r="AA48" s="146"/>
      <c r="AJ48" s="146"/>
      <c r="AK48" s="161"/>
      <c r="AL48" s="69"/>
      <c r="AM48" s="71"/>
      <c r="AN48" s="69"/>
      <c r="AO48" s="71"/>
      <c r="AP48" s="69"/>
      <c r="AQ48" s="71"/>
      <c r="AR48" s="74"/>
      <c r="AS48" s="74"/>
      <c r="AT48" s="74"/>
      <c r="AU48" s="74"/>
      <c r="AV48" s="74"/>
      <c r="AW48" s="69"/>
      <c r="AX48" s="70"/>
      <c r="AY48" s="71"/>
      <c r="AZ48" s="145"/>
      <c r="BA48" s="146"/>
      <c r="BB48" s="146"/>
      <c r="BC48" s="146"/>
      <c r="BD48" s="147"/>
      <c r="BE48" s="145"/>
      <c r="BF48" s="146"/>
      <c r="BG48" s="146"/>
      <c r="BH48" s="146"/>
      <c r="BI48" s="146"/>
      <c r="BJ48" s="50"/>
      <c r="BL48" s="70"/>
      <c r="BM48" s="71"/>
      <c r="BN48" s="69"/>
      <c r="BO48" s="71"/>
      <c r="BP48" s="69"/>
      <c r="BQ48" s="71"/>
      <c r="BR48" s="69"/>
      <c r="BS48" s="71"/>
      <c r="BT48" s="74"/>
      <c r="BU48" s="74"/>
      <c r="BV48" s="74"/>
      <c r="BW48" s="74"/>
      <c r="BX48" s="66"/>
      <c r="BY48" s="193"/>
      <c r="BZ48" s="70"/>
      <c r="CA48" s="71"/>
      <c r="CB48" s="145"/>
      <c r="CC48" s="146"/>
      <c r="CD48" s="146"/>
      <c r="CE48" s="146"/>
      <c r="CF48" s="146"/>
      <c r="CG48" s="145"/>
      <c r="CH48" s="146"/>
      <c r="CI48" s="146"/>
      <c r="CJ48" s="146"/>
      <c r="CK48" s="146"/>
      <c r="CO48" s="70"/>
      <c r="CP48" s="71"/>
      <c r="CQ48" s="69"/>
      <c r="CR48" s="71"/>
      <c r="CS48" s="69"/>
      <c r="CT48" s="71"/>
      <c r="CU48" s="69"/>
      <c r="CV48" s="71"/>
      <c r="CW48" s="74"/>
      <c r="CX48" s="74"/>
      <c r="CY48" s="74"/>
      <c r="CZ48" s="74"/>
      <c r="DA48" s="74"/>
      <c r="DB48" s="69"/>
      <c r="DC48" s="70"/>
      <c r="DD48" s="71"/>
      <c r="DE48" s="145"/>
      <c r="DF48" s="146"/>
      <c r="DG48" s="146"/>
      <c r="DH48" s="146"/>
      <c r="DI48" s="146"/>
      <c r="DJ48" s="145"/>
      <c r="DK48" s="146"/>
      <c r="DL48" s="146"/>
      <c r="DM48" s="146"/>
      <c r="DN48" s="146"/>
      <c r="DQ48" s="70"/>
      <c r="DR48" s="71"/>
      <c r="DS48" s="69"/>
      <c r="DT48" s="71"/>
      <c r="DU48" s="69"/>
      <c r="DV48" s="71"/>
      <c r="DW48" s="69"/>
      <c r="DX48" s="71"/>
      <c r="DY48" s="176"/>
      <c r="DZ48" s="176"/>
      <c r="EA48" s="176"/>
      <c r="EB48" s="176"/>
      <c r="EC48" s="176"/>
      <c r="ED48" s="69"/>
      <c r="EE48" s="70"/>
      <c r="EF48" s="71"/>
      <c r="EG48" s="145"/>
      <c r="EH48" s="146"/>
      <c r="EI48" s="146"/>
      <c r="EJ48" s="146"/>
      <c r="EK48" s="146"/>
      <c r="EL48" s="145"/>
      <c r="EM48" s="146"/>
      <c r="EN48" s="146"/>
      <c r="EO48" s="146"/>
      <c r="EP48" s="146"/>
      <c r="ES48" s="70"/>
      <c r="ET48" s="71"/>
      <c r="EU48" s="69"/>
      <c r="EV48" s="71"/>
      <c r="EW48" s="69"/>
      <c r="EX48" s="71"/>
      <c r="EY48" s="69"/>
      <c r="EZ48" s="71"/>
      <c r="FA48" s="176"/>
      <c r="FB48" s="176"/>
      <c r="FC48" s="176"/>
      <c r="FD48" s="176"/>
      <c r="FE48" s="176"/>
      <c r="FF48" s="69"/>
      <c r="FG48" s="70"/>
      <c r="FH48" s="71"/>
      <c r="FI48" s="145"/>
      <c r="FJ48" s="146"/>
      <c r="FK48" s="146"/>
      <c r="FL48" s="146"/>
      <c r="FM48" s="146"/>
      <c r="FN48" s="145"/>
      <c r="FO48" s="146"/>
      <c r="FP48" s="146"/>
      <c r="FQ48" s="146"/>
      <c r="FR48" s="146"/>
    </row>
    <row r="49" spans="2:174">
      <c r="B49" s="70"/>
      <c r="C49" s="71"/>
      <c r="D49" s="69"/>
      <c r="E49" s="71"/>
      <c r="F49" s="69"/>
      <c r="G49" s="71"/>
      <c r="H49" s="63"/>
      <c r="I49" s="64"/>
      <c r="J49" s="74"/>
      <c r="K49" s="74"/>
      <c r="L49" s="74"/>
      <c r="M49" s="74"/>
      <c r="N49" s="74"/>
      <c r="O49" s="69"/>
      <c r="P49" s="70"/>
      <c r="Q49" s="71"/>
      <c r="R49" s="145"/>
      <c r="S49" s="146"/>
      <c r="T49" s="146"/>
      <c r="U49" s="146"/>
      <c r="V49" s="146"/>
      <c r="W49" s="145"/>
      <c r="X49" s="146"/>
      <c r="Y49" s="146"/>
      <c r="Z49" s="146"/>
      <c r="AA49" s="146"/>
      <c r="AJ49" s="146"/>
      <c r="AK49" s="161"/>
      <c r="AL49" s="69"/>
      <c r="AM49" s="71"/>
      <c r="AN49" s="69"/>
      <c r="AO49" s="71"/>
      <c r="AP49" s="69"/>
      <c r="AQ49" s="71"/>
      <c r="AR49" s="74"/>
      <c r="AS49" s="74"/>
      <c r="AT49" s="74"/>
      <c r="AU49" s="74"/>
      <c r="AV49" s="74"/>
      <c r="AW49" s="69"/>
      <c r="AX49" s="70"/>
      <c r="AY49" s="71"/>
      <c r="AZ49" s="145"/>
      <c r="BA49" s="146"/>
      <c r="BB49" s="146"/>
      <c r="BC49" s="146"/>
      <c r="BD49" s="147"/>
      <c r="BE49" s="145"/>
      <c r="BF49" s="146"/>
      <c r="BG49" s="146"/>
      <c r="BH49" s="146"/>
      <c r="BI49" s="146"/>
      <c r="BJ49" s="50"/>
      <c r="BL49" s="70"/>
      <c r="BM49" s="71"/>
      <c r="BN49" s="69"/>
      <c r="BO49" s="71"/>
      <c r="BP49" s="69"/>
      <c r="BQ49" s="71"/>
      <c r="BR49" s="69"/>
      <c r="BS49" s="71"/>
      <c r="BT49" s="74"/>
      <c r="BU49" s="74"/>
      <c r="BV49" s="74"/>
      <c r="BW49" s="74"/>
      <c r="BX49" s="66"/>
      <c r="BY49" s="193"/>
      <c r="BZ49" s="70"/>
      <c r="CA49" s="71"/>
      <c r="CB49" s="145"/>
      <c r="CC49" s="146"/>
      <c r="CD49" s="146"/>
      <c r="CE49" s="146"/>
      <c r="CF49" s="146"/>
      <c r="CG49" s="145"/>
      <c r="CH49" s="146"/>
      <c r="CI49" s="146"/>
      <c r="CJ49" s="146"/>
      <c r="CK49" s="146"/>
      <c r="CO49" s="70"/>
      <c r="CP49" s="71"/>
      <c r="CQ49" s="69"/>
      <c r="CR49" s="71"/>
      <c r="CS49" s="69"/>
      <c r="CT49" s="71"/>
      <c r="CU49" s="69"/>
      <c r="CV49" s="71"/>
      <c r="CW49" s="74"/>
      <c r="CX49" s="74"/>
      <c r="CY49" s="74"/>
      <c r="CZ49" s="74"/>
      <c r="DA49" s="74"/>
      <c r="DB49" s="69"/>
      <c r="DC49" s="70"/>
      <c r="DD49" s="71"/>
      <c r="DE49" s="145"/>
      <c r="DF49" s="146"/>
      <c r="DG49" s="146"/>
      <c r="DH49" s="146"/>
      <c r="DI49" s="146"/>
      <c r="DJ49" s="145"/>
      <c r="DK49" s="146"/>
      <c r="DL49" s="146"/>
      <c r="DM49" s="146"/>
      <c r="DN49" s="146"/>
      <c r="DQ49" s="70"/>
      <c r="DR49" s="71"/>
      <c r="DS49" s="69"/>
      <c r="DT49" s="71"/>
      <c r="DU49" s="69"/>
      <c r="DV49" s="71"/>
      <c r="DW49" s="69"/>
      <c r="DX49" s="71"/>
      <c r="DY49" s="176"/>
      <c r="DZ49" s="176"/>
      <c r="EA49" s="176"/>
      <c r="EB49" s="176"/>
      <c r="EC49" s="176"/>
      <c r="ED49" s="69"/>
      <c r="EE49" s="70"/>
      <c r="EF49" s="71"/>
      <c r="EG49" s="145"/>
      <c r="EH49" s="146"/>
      <c r="EI49" s="146"/>
      <c r="EJ49" s="146"/>
      <c r="EK49" s="146"/>
      <c r="EL49" s="145"/>
      <c r="EM49" s="146"/>
      <c r="EN49" s="146"/>
      <c r="EO49" s="146"/>
      <c r="EP49" s="146"/>
      <c r="ES49" s="70"/>
      <c r="ET49" s="71"/>
      <c r="EU49" s="69"/>
      <c r="EV49" s="71"/>
      <c r="EW49" s="69"/>
      <c r="EX49" s="71"/>
      <c r="EY49" s="69"/>
      <c r="EZ49" s="71"/>
      <c r="FA49" s="176"/>
      <c r="FB49" s="176"/>
      <c r="FC49" s="176"/>
      <c r="FD49" s="176"/>
      <c r="FE49" s="176"/>
      <c r="FF49" s="69"/>
      <c r="FG49" s="70"/>
      <c r="FH49" s="71"/>
      <c r="FI49" s="145"/>
      <c r="FJ49" s="146"/>
      <c r="FK49" s="146"/>
      <c r="FL49" s="146"/>
      <c r="FM49" s="146"/>
      <c r="FN49" s="145"/>
      <c r="FO49" s="146"/>
      <c r="FP49" s="146"/>
      <c r="FQ49" s="146"/>
      <c r="FR49" s="146"/>
    </row>
    <row r="50" spans="2:174">
      <c r="B50" s="70"/>
      <c r="C50" s="71"/>
      <c r="D50" s="69"/>
      <c r="E50" s="71"/>
      <c r="F50" s="69"/>
      <c r="G50" s="71"/>
      <c r="H50" s="63"/>
      <c r="I50" s="64"/>
      <c r="J50" s="74"/>
      <c r="K50" s="74"/>
      <c r="L50" s="74"/>
      <c r="M50" s="74"/>
      <c r="N50" s="74"/>
      <c r="O50" s="69"/>
      <c r="P50" s="70"/>
      <c r="Q50" s="71"/>
      <c r="R50" s="145"/>
      <c r="S50" s="146"/>
      <c r="T50" s="146"/>
      <c r="U50" s="146"/>
      <c r="V50" s="146"/>
      <c r="W50" s="145"/>
      <c r="X50" s="146"/>
      <c r="Y50" s="146"/>
      <c r="Z50" s="146"/>
      <c r="AA50" s="146"/>
      <c r="AJ50" s="146"/>
      <c r="AK50" s="161"/>
      <c r="AL50" s="69"/>
      <c r="AM50" s="71"/>
      <c r="AN50" s="69"/>
      <c r="AO50" s="71"/>
      <c r="AP50" s="69"/>
      <c r="AQ50" s="71"/>
      <c r="AR50" s="74"/>
      <c r="AS50" s="74"/>
      <c r="AT50" s="74"/>
      <c r="AU50" s="74"/>
      <c r="AV50" s="74"/>
      <c r="AW50" s="69"/>
      <c r="AX50" s="70"/>
      <c r="AY50" s="71"/>
      <c r="AZ50" s="145"/>
      <c r="BA50" s="146"/>
      <c r="BB50" s="146"/>
      <c r="BC50" s="146"/>
      <c r="BD50" s="147"/>
      <c r="BE50" s="145"/>
      <c r="BF50" s="146"/>
      <c r="BG50" s="146"/>
      <c r="BH50" s="146"/>
      <c r="BI50" s="146"/>
      <c r="BJ50" s="50"/>
      <c r="BL50" s="70"/>
      <c r="BM50" s="71"/>
      <c r="BN50" s="69"/>
      <c r="BO50" s="71"/>
      <c r="BP50" s="69"/>
      <c r="BQ50" s="71"/>
      <c r="BR50" s="69"/>
      <c r="BS50" s="71"/>
      <c r="BT50" s="74"/>
      <c r="BU50" s="74"/>
      <c r="BV50" s="74"/>
      <c r="BW50" s="74"/>
      <c r="BX50" s="66"/>
      <c r="BY50" s="193"/>
      <c r="BZ50" s="70"/>
      <c r="CA50" s="71"/>
      <c r="CB50" s="145"/>
      <c r="CC50" s="146"/>
      <c r="CD50" s="146"/>
      <c r="CE50" s="146"/>
      <c r="CF50" s="146"/>
      <c r="CG50" s="145"/>
      <c r="CH50" s="146"/>
      <c r="CI50" s="146"/>
      <c r="CJ50" s="146"/>
      <c r="CK50" s="146"/>
      <c r="CO50" s="70"/>
      <c r="CP50" s="71"/>
      <c r="CQ50" s="69"/>
      <c r="CR50" s="71"/>
      <c r="CS50" s="69"/>
      <c r="CT50" s="71"/>
      <c r="CU50" s="69"/>
      <c r="CV50" s="71"/>
      <c r="CW50" s="74"/>
      <c r="CX50" s="74"/>
      <c r="CY50" s="74"/>
      <c r="CZ50" s="74"/>
      <c r="DA50" s="74"/>
      <c r="DB50" s="69"/>
      <c r="DC50" s="70"/>
      <c r="DD50" s="71"/>
      <c r="DE50" s="145"/>
      <c r="DF50" s="146"/>
      <c r="DG50" s="146"/>
      <c r="DH50" s="146"/>
      <c r="DI50" s="146"/>
      <c r="DJ50" s="145"/>
      <c r="DK50" s="146"/>
      <c r="DL50" s="146"/>
      <c r="DM50" s="146"/>
      <c r="DN50" s="146"/>
      <c r="DQ50" s="70"/>
      <c r="DR50" s="71"/>
      <c r="DS50" s="69"/>
      <c r="DT50" s="71"/>
      <c r="DU50" s="69"/>
      <c r="DV50" s="71"/>
      <c r="DW50" s="69"/>
      <c r="DX50" s="71"/>
      <c r="DY50" s="176"/>
      <c r="DZ50" s="176"/>
      <c r="EA50" s="176"/>
      <c r="EB50" s="176"/>
      <c r="EC50" s="176"/>
      <c r="ED50" s="69"/>
      <c r="EE50" s="70"/>
      <c r="EF50" s="71"/>
      <c r="EG50" s="145"/>
      <c r="EH50" s="146"/>
      <c r="EI50" s="146"/>
      <c r="EJ50" s="146"/>
      <c r="EK50" s="146"/>
      <c r="EL50" s="145"/>
      <c r="EM50" s="146"/>
      <c r="EN50" s="146"/>
      <c r="EO50" s="146"/>
      <c r="EP50" s="146"/>
      <c r="ES50" s="70"/>
      <c r="ET50" s="71"/>
      <c r="EU50" s="69"/>
      <c r="EV50" s="71"/>
      <c r="EW50" s="69"/>
      <c r="EX50" s="71"/>
      <c r="EY50" s="69"/>
      <c r="EZ50" s="71"/>
      <c r="FA50" s="176"/>
      <c r="FB50" s="176"/>
      <c r="FC50" s="176"/>
      <c r="FD50" s="176"/>
      <c r="FE50" s="176"/>
      <c r="FF50" s="69"/>
      <c r="FG50" s="70"/>
      <c r="FH50" s="71"/>
      <c r="FI50" s="145"/>
      <c r="FJ50" s="146"/>
      <c r="FK50" s="146"/>
      <c r="FL50" s="146"/>
      <c r="FM50" s="146"/>
      <c r="FN50" s="145"/>
      <c r="FO50" s="146"/>
      <c r="FP50" s="146"/>
      <c r="FQ50" s="146"/>
      <c r="FR50" s="146"/>
    </row>
    <row r="51" spans="2:174">
      <c r="B51" s="70"/>
      <c r="C51" s="71"/>
      <c r="D51" s="69"/>
      <c r="E51" s="71"/>
      <c r="F51" s="69"/>
      <c r="G51" s="71"/>
      <c r="H51" s="63"/>
      <c r="I51" s="64"/>
      <c r="J51" s="74"/>
      <c r="K51" s="74"/>
      <c r="L51" s="74"/>
      <c r="M51" s="74"/>
      <c r="N51" s="74"/>
      <c r="O51" s="69"/>
      <c r="P51" s="70"/>
      <c r="Q51" s="71"/>
      <c r="R51" s="145"/>
      <c r="S51" s="146"/>
      <c r="T51" s="146"/>
      <c r="U51" s="146"/>
      <c r="V51" s="146"/>
      <c r="W51" s="145"/>
      <c r="X51" s="146"/>
      <c r="Y51" s="146"/>
      <c r="Z51" s="146"/>
      <c r="AA51" s="146"/>
      <c r="AJ51" s="146"/>
      <c r="AK51" s="161"/>
      <c r="AL51" s="69"/>
      <c r="AM51" s="71"/>
      <c r="AN51" s="69"/>
      <c r="AO51" s="71"/>
      <c r="AP51" s="69"/>
      <c r="AQ51" s="71"/>
      <c r="AR51" s="74"/>
      <c r="AS51" s="74"/>
      <c r="AT51" s="74"/>
      <c r="AU51" s="74"/>
      <c r="AV51" s="74"/>
      <c r="AW51" s="69"/>
      <c r="AX51" s="70"/>
      <c r="AY51" s="71"/>
      <c r="AZ51" s="145"/>
      <c r="BA51" s="146"/>
      <c r="BB51" s="146"/>
      <c r="BC51" s="146"/>
      <c r="BD51" s="147"/>
      <c r="BE51" s="145"/>
      <c r="BF51" s="146"/>
      <c r="BG51" s="146"/>
      <c r="BH51" s="146"/>
      <c r="BI51" s="146"/>
      <c r="BJ51" s="50"/>
      <c r="BL51" s="70"/>
      <c r="BM51" s="71"/>
      <c r="BN51" s="69"/>
      <c r="BO51" s="71"/>
      <c r="BP51" s="69"/>
      <c r="BQ51" s="71"/>
      <c r="BR51" s="69"/>
      <c r="BS51" s="71"/>
      <c r="BT51" s="74"/>
      <c r="BU51" s="74"/>
      <c r="BV51" s="74"/>
      <c r="BW51" s="74"/>
      <c r="BX51" s="66"/>
      <c r="BY51" s="193"/>
      <c r="BZ51" s="70"/>
      <c r="CA51" s="71"/>
      <c r="CB51" s="145"/>
      <c r="CC51" s="146"/>
      <c r="CD51" s="146"/>
      <c r="CE51" s="146"/>
      <c r="CF51" s="146"/>
      <c r="CG51" s="145"/>
      <c r="CH51" s="146"/>
      <c r="CI51" s="146"/>
      <c r="CJ51" s="146"/>
      <c r="CK51" s="146"/>
      <c r="CO51" s="70"/>
      <c r="CP51" s="71"/>
      <c r="CQ51" s="69"/>
      <c r="CR51" s="71"/>
      <c r="CS51" s="69"/>
      <c r="CT51" s="71"/>
      <c r="CU51" s="69"/>
      <c r="CV51" s="71"/>
      <c r="CW51" s="74"/>
      <c r="CX51" s="74"/>
      <c r="CY51" s="74"/>
      <c r="CZ51" s="74"/>
      <c r="DA51" s="74"/>
      <c r="DB51" s="69"/>
      <c r="DC51" s="70"/>
      <c r="DD51" s="71"/>
      <c r="DE51" s="145"/>
      <c r="DF51" s="146"/>
      <c r="DG51" s="146"/>
      <c r="DH51" s="146"/>
      <c r="DI51" s="146"/>
      <c r="DJ51" s="145"/>
      <c r="DK51" s="146"/>
      <c r="DL51" s="146"/>
      <c r="DM51" s="146"/>
      <c r="DN51" s="146"/>
      <c r="DQ51" s="70"/>
      <c r="DR51" s="71"/>
      <c r="DS51" s="69"/>
      <c r="DT51" s="71"/>
      <c r="DU51" s="69"/>
      <c r="DV51" s="71"/>
      <c r="DW51" s="69"/>
      <c r="DX51" s="71"/>
      <c r="DY51" s="176"/>
      <c r="DZ51" s="176"/>
      <c r="EA51" s="176"/>
      <c r="EB51" s="176"/>
      <c r="EC51" s="176"/>
      <c r="ED51" s="69"/>
      <c r="EE51" s="70"/>
      <c r="EF51" s="71"/>
      <c r="EG51" s="145"/>
      <c r="EH51" s="146"/>
      <c r="EI51" s="146"/>
      <c r="EJ51" s="146"/>
      <c r="EK51" s="146"/>
      <c r="EL51" s="145"/>
      <c r="EM51" s="146"/>
      <c r="EN51" s="146"/>
      <c r="EO51" s="146"/>
      <c r="EP51" s="146"/>
      <c r="ES51" s="70"/>
      <c r="ET51" s="71"/>
      <c r="EU51" s="69"/>
      <c r="EV51" s="71"/>
      <c r="EW51" s="69"/>
      <c r="EX51" s="71"/>
      <c r="EY51" s="69"/>
      <c r="EZ51" s="71"/>
      <c r="FA51" s="203"/>
      <c r="FB51" s="203"/>
      <c r="FC51" s="203"/>
      <c r="FD51" s="203"/>
      <c r="FE51" s="203"/>
      <c r="FF51" s="69"/>
      <c r="FG51" s="70"/>
      <c r="FH51" s="71"/>
      <c r="FI51" s="145"/>
      <c r="FJ51" s="146"/>
      <c r="FK51" s="146"/>
      <c r="FL51" s="146"/>
      <c r="FM51" s="146"/>
      <c r="FN51" s="145"/>
      <c r="FO51" s="146"/>
      <c r="FP51" s="146"/>
      <c r="FQ51" s="146"/>
      <c r="FR51" s="146"/>
    </row>
    <row r="52" spans="2:174">
      <c r="B52" s="70"/>
      <c r="C52" s="71"/>
      <c r="D52" s="69"/>
      <c r="E52" s="71"/>
      <c r="F52" s="69"/>
      <c r="G52" s="71"/>
      <c r="H52" s="63"/>
      <c r="I52" s="64"/>
      <c r="J52" s="74"/>
      <c r="K52" s="74"/>
      <c r="L52" s="74"/>
      <c r="M52" s="74"/>
      <c r="N52" s="74"/>
      <c r="O52" s="69"/>
      <c r="P52" s="70"/>
      <c r="Q52" s="71"/>
      <c r="R52" s="145"/>
      <c r="S52" s="146"/>
      <c r="T52" s="146"/>
      <c r="U52" s="146"/>
      <c r="V52" s="146"/>
      <c r="W52" s="145"/>
      <c r="X52" s="146"/>
      <c r="Y52" s="146"/>
      <c r="Z52" s="146"/>
      <c r="AA52" s="146"/>
      <c r="AJ52" s="146"/>
      <c r="AK52" s="161"/>
      <c r="AL52" s="69"/>
      <c r="AM52" s="71"/>
      <c r="AN52" s="69"/>
      <c r="AO52" s="71"/>
      <c r="AP52" s="69"/>
      <c r="AQ52" s="71"/>
      <c r="AR52" s="74"/>
      <c r="AS52" s="74"/>
      <c r="AT52" s="74"/>
      <c r="AU52" s="74"/>
      <c r="AV52" s="74"/>
      <c r="AW52" s="69"/>
      <c r="AX52" s="70"/>
      <c r="AY52" s="71"/>
      <c r="AZ52" s="145"/>
      <c r="BA52" s="146"/>
      <c r="BB52" s="146"/>
      <c r="BC52" s="146"/>
      <c r="BD52" s="147"/>
      <c r="BE52" s="145"/>
      <c r="BF52" s="146"/>
      <c r="BG52" s="146"/>
      <c r="BH52" s="146"/>
      <c r="BI52" s="146"/>
      <c r="BJ52" s="50"/>
      <c r="BL52" s="70"/>
      <c r="BM52" s="71"/>
      <c r="BN52" s="69"/>
      <c r="BO52" s="71"/>
      <c r="BP52" s="69"/>
      <c r="BQ52" s="71"/>
      <c r="BR52" s="69"/>
      <c r="BS52" s="71"/>
      <c r="BT52" s="74"/>
      <c r="BU52" s="74"/>
      <c r="BV52" s="74"/>
      <c r="BW52" s="74"/>
      <c r="BX52" s="66"/>
      <c r="BY52" s="193"/>
      <c r="BZ52" s="70"/>
      <c r="CA52" s="71"/>
      <c r="CB52" s="145"/>
      <c r="CC52" s="146"/>
      <c r="CD52" s="146"/>
      <c r="CE52" s="146"/>
      <c r="CF52" s="146"/>
      <c r="CG52" s="145"/>
      <c r="CH52" s="146"/>
      <c r="CI52" s="146"/>
      <c r="CJ52" s="146"/>
      <c r="CK52" s="146"/>
      <c r="CO52" s="70"/>
      <c r="CP52" s="71"/>
      <c r="CQ52" s="69"/>
      <c r="CR52" s="71"/>
      <c r="CS52" s="69"/>
      <c r="CT52" s="71"/>
      <c r="CU52" s="69"/>
      <c r="CV52" s="71"/>
      <c r="CW52" s="74"/>
      <c r="CX52" s="74"/>
      <c r="CY52" s="74"/>
      <c r="CZ52" s="74"/>
      <c r="DA52" s="74"/>
      <c r="DB52" s="69"/>
      <c r="DC52" s="70"/>
      <c r="DD52" s="71"/>
      <c r="DE52" s="145"/>
      <c r="DF52" s="146"/>
      <c r="DG52" s="146"/>
      <c r="DH52" s="146"/>
      <c r="DI52" s="146"/>
      <c r="DJ52" s="145"/>
      <c r="DK52" s="146"/>
      <c r="DL52" s="146"/>
      <c r="DM52" s="146"/>
      <c r="DN52" s="146"/>
      <c r="DQ52" s="70"/>
      <c r="DR52" s="71"/>
      <c r="DS52" s="69"/>
      <c r="DT52" s="71"/>
      <c r="DU52" s="69"/>
      <c r="DV52" s="71"/>
      <c r="DW52" s="69"/>
      <c r="DX52" s="71"/>
      <c r="DY52" s="176"/>
      <c r="DZ52" s="176"/>
      <c r="EA52" s="176"/>
      <c r="EB52" s="176"/>
      <c r="EC52" s="176"/>
      <c r="ED52" s="69"/>
      <c r="EE52" s="70"/>
      <c r="EF52" s="71"/>
      <c r="EG52" s="145"/>
      <c r="EH52" s="146"/>
      <c r="EI52" s="146"/>
      <c r="EJ52" s="146"/>
      <c r="EK52" s="146"/>
      <c r="EL52" s="145"/>
      <c r="EM52" s="146"/>
      <c r="EN52" s="146"/>
      <c r="EO52" s="146"/>
      <c r="EP52" s="146"/>
    </row>
    <row r="53" spans="2:174">
      <c r="B53" s="70"/>
      <c r="C53" s="71"/>
      <c r="D53" s="69"/>
      <c r="E53" s="71"/>
      <c r="F53" s="69"/>
      <c r="G53" s="71"/>
      <c r="H53" s="63"/>
      <c r="I53" s="64"/>
      <c r="J53" s="74"/>
      <c r="K53" s="74"/>
      <c r="L53" s="74"/>
      <c r="M53" s="74"/>
      <c r="N53" s="74"/>
      <c r="O53" s="69"/>
      <c r="P53" s="70"/>
      <c r="Q53" s="71"/>
      <c r="R53" s="145"/>
      <c r="S53" s="146"/>
      <c r="T53" s="146"/>
      <c r="U53" s="146"/>
      <c r="V53" s="146"/>
      <c r="W53" s="145"/>
      <c r="X53" s="146"/>
      <c r="Y53" s="146"/>
      <c r="Z53" s="146"/>
      <c r="AA53" s="146"/>
      <c r="AJ53" s="146"/>
      <c r="AK53" s="161"/>
      <c r="AL53" s="69"/>
      <c r="AM53" s="71"/>
      <c r="AN53" s="69"/>
      <c r="AO53" s="71"/>
      <c r="AP53" s="69"/>
      <c r="AQ53" s="71"/>
      <c r="AR53" s="74"/>
      <c r="AS53" s="74"/>
      <c r="AT53" s="74"/>
      <c r="AU53" s="74"/>
      <c r="AV53" s="74"/>
      <c r="AW53" s="69"/>
      <c r="AX53" s="70"/>
      <c r="AY53" s="71"/>
      <c r="AZ53" s="145"/>
      <c r="BA53" s="146"/>
      <c r="BB53" s="146"/>
      <c r="BC53" s="146"/>
      <c r="BD53" s="147"/>
      <c r="BE53" s="145"/>
      <c r="BF53" s="146"/>
      <c r="BG53" s="146"/>
      <c r="BH53" s="146"/>
      <c r="BI53" s="146"/>
      <c r="BJ53" s="50"/>
      <c r="BL53" s="70"/>
      <c r="BM53" s="71"/>
      <c r="BN53" s="69"/>
      <c r="BO53" s="71"/>
      <c r="BP53" s="69"/>
      <c r="BQ53" s="71"/>
      <c r="BR53" s="69"/>
      <c r="BS53" s="71"/>
      <c r="BT53" s="74"/>
      <c r="BU53" s="74"/>
      <c r="BV53" s="74"/>
      <c r="BW53" s="74"/>
      <c r="BX53" s="66"/>
      <c r="BY53" s="193"/>
      <c r="BZ53" s="70"/>
      <c r="CA53" s="71"/>
      <c r="CB53" s="145"/>
      <c r="CC53" s="146"/>
      <c r="CD53" s="146"/>
      <c r="CE53" s="146"/>
      <c r="CF53" s="146"/>
      <c r="CG53" s="145"/>
      <c r="CH53" s="146"/>
      <c r="CI53" s="146"/>
      <c r="CJ53" s="146"/>
      <c r="CK53" s="146"/>
      <c r="CO53" s="70"/>
      <c r="CP53" s="71"/>
      <c r="CQ53" s="69"/>
      <c r="CR53" s="71"/>
      <c r="CS53" s="69"/>
      <c r="CT53" s="71"/>
      <c r="CU53" s="69"/>
      <c r="CV53" s="71"/>
      <c r="CW53" s="74"/>
      <c r="CX53" s="74"/>
      <c r="CY53" s="74"/>
      <c r="CZ53" s="74"/>
      <c r="DA53" s="74"/>
      <c r="DB53" s="69"/>
      <c r="DC53" s="70"/>
      <c r="DD53" s="71"/>
      <c r="DE53" s="145"/>
      <c r="DF53" s="146"/>
      <c r="DG53" s="146"/>
      <c r="DH53" s="146"/>
      <c r="DI53" s="146"/>
      <c r="DJ53" s="145"/>
      <c r="DK53" s="146"/>
      <c r="DL53" s="146"/>
      <c r="DM53" s="146"/>
      <c r="DN53" s="146"/>
      <c r="DQ53" s="70"/>
      <c r="DR53" s="71"/>
      <c r="DS53" s="69"/>
      <c r="DT53" s="71"/>
      <c r="DU53" s="69"/>
      <c r="DV53" s="71"/>
      <c r="DW53" s="69"/>
      <c r="DX53" s="71"/>
      <c r="DY53" s="203"/>
      <c r="DZ53" s="203"/>
      <c r="EA53" s="203"/>
      <c r="EB53" s="203"/>
      <c r="EC53" s="203"/>
      <c r="ED53" s="69"/>
      <c r="EE53" s="70"/>
      <c r="EF53" s="71"/>
      <c r="EG53" s="145"/>
      <c r="EH53" s="146"/>
      <c r="EI53" s="146"/>
      <c r="EJ53" s="146"/>
      <c r="EK53" s="146"/>
      <c r="EL53" s="145"/>
      <c r="EM53" s="146"/>
      <c r="EN53" s="146"/>
      <c r="EO53" s="146"/>
      <c r="EP53" s="146"/>
    </row>
    <row r="54" spans="2:174">
      <c r="P54" s="1"/>
      <c r="Q54" s="1"/>
      <c r="R54" s="1"/>
      <c r="AJ54" s="146"/>
      <c r="AK54" s="161"/>
      <c r="AL54" s="69"/>
      <c r="AM54" s="71"/>
      <c r="AN54" s="69"/>
      <c r="AO54" s="71"/>
      <c r="AP54" s="69"/>
      <c r="AQ54" s="71"/>
      <c r="AR54" s="74"/>
      <c r="AS54" s="74"/>
      <c r="AT54" s="74"/>
      <c r="AU54" s="74"/>
      <c r="AV54" s="74"/>
      <c r="AW54" s="69"/>
      <c r="AX54" s="70"/>
      <c r="AY54" s="71"/>
      <c r="AZ54" s="145"/>
      <c r="BA54" s="146"/>
      <c r="BB54" s="146"/>
      <c r="BC54" s="146"/>
      <c r="BD54" s="146"/>
      <c r="BE54" s="145"/>
      <c r="BF54" s="146"/>
      <c r="BG54" s="146"/>
      <c r="BH54" s="146"/>
      <c r="BI54" s="146"/>
    </row>
    <row r="55" spans="2:174">
      <c r="AJ55" s="146"/>
      <c r="AK55" s="161"/>
      <c r="AL55" s="69"/>
      <c r="AM55" s="71"/>
      <c r="AN55" s="69"/>
      <c r="AO55" s="71"/>
      <c r="AP55" s="69"/>
      <c r="AQ55" s="71"/>
      <c r="AR55" s="74"/>
      <c r="AS55" s="74"/>
      <c r="AT55" s="74"/>
      <c r="AU55" s="74"/>
      <c r="AV55" s="74"/>
      <c r="AW55" s="69"/>
      <c r="AX55" s="70"/>
      <c r="AY55" s="71"/>
      <c r="AZ55" s="145"/>
      <c r="BA55" s="146"/>
      <c r="BB55" s="146"/>
      <c r="BC55" s="146"/>
      <c r="BD55" s="146"/>
      <c r="BE55" s="145"/>
      <c r="BF55" s="146"/>
      <c r="BG55" s="146"/>
      <c r="BH55" s="146"/>
      <c r="BI55" s="146"/>
    </row>
    <row r="56" spans="2:174">
      <c r="AJ56" s="146"/>
      <c r="AK56" s="161"/>
      <c r="AL56" s="69"/>
      <c r="AM56" s="71"/>
      <c r="AN56" s="69"/>
      <c r="AO56" s="71"/>
      <c r="AP56" s="69"/>
      <c r="AQ56" s="71"/>
      <c r="AR56" s="74"/>
      <c r="AS56" s="74"/>
      <c r="AT56" s="74"/>
      <c r="AU56" s="74"/>
      <c r="AV56" s="74"/>
      <c r="AW56" s="69"/>
      <c r="AX56" s="70"/>
      <c r="AY56" s="71"/>
      <c r="AZ56" s="145"/>
      <c r="BA56" s="146"/>
      <c r="BB56" s="146"/>
      <c r="BC56" s="146"/>
      <c r="BD56" s="146"/>
      <c r="BE56" s="145"/>
      <c r="BF56" s="146"/>
      <c r="BG56" s="146"/>
      <c r="BH56" s="146"/>
      <c r="BI56" s="146"/>
    </row>
    <row r="57" spans="2:174">
      <c r="AJ57" s="146"/>
      <c r="AK57" s="161"/>
      <c r="AL57" s="69"/>
      <c r="AM57" s="71"/>
      <c r="AN57" s="69"/>
      <c r="AO57" s="71"/>
      <c r="AP57" s="69"/>
      <c r="AQ57" s="71"/>
      <c r="AR57" s="74"/>
      <c r="AS57" s="74"/>
      <c r="AT57" s="74"/>
      <c r="AU57" s="74"/>
      <c r="AV57" s="74"/>
      <c r="AW57" s="69"/>
      <c r="AX57" s="70"/>
      <c r="AY57" s="71"/>
      <c r="AZ57" s="145"/>
      <c r="BA57" s="146"/>
      <c r="BB57" s="146"/>
      <c r="BC57" s="146"/>
      <c r="BD57" s="146"/>
      <c r="BE57" s="145"/>
      <c r="BF57" s="146"/>
      <c r="BG57" s="146"/>
      <c r="BH57" s="146"/>
      <c r="BI57" s="146"/>
    </row>
    <row r="58" spans="2:174">
      <c r="AJ58" s="146"/>
      <c r="AK58" s="161"/>
      <c r="AL58" s="69"/>
      <c r="AM58" s="71"/>
      <c r="AN58" s="69"/>
      <c r="AO58" s="71"/>
      <c r="AP58" s="69"/>
      <c r="AQ58" s="71"/>
      <c r="AR58" s="74"/>
      <c r="AS58" s="74"/>
      <c r="AT58" s="74"/>
      <c r="AU58" s="74"/>
      <c r="AV58" s="74"/>
      <c r="AW58" s="69"/>
      <c r="AX58" s="70"/>
      <c r="AY58" s="71"/>
      <c r="AZ58" s="145"/>
      <c r="BA58" s="146"/>
      <c r="BB58" s="146"/>
      <c r="BC58" s="146"/>
      <c r="BD58" s="146"/>
      <c r="BE58" s="145"/>
      <c r="BF58" s="146"/>
      <c r="BG58" s="146"/>
      <c r="BH58" s="146"/>
      <c r="BI58" s="146"/>
    </row>
    <row r="59" spans="2:174">
      <c r="AJ59" s="146"/>
      <c r="AK59" s="161"/>
      <c r="AL59" s="69"/>
      <c r="AM59" s="71"/>
      <c r="AN59" s="69"/>
      <c r="AO59" s="71"/>
      <c r="AP59" s="69"/>
      <c r="AQ59" s="71"/>
      <c r="AR59" s="74"/>
      <c r="AS59" s="74"/>
      <c r="AT59" s="74"/>
      <c r="AU59" s="74"/>
      <c r="AV59" s="74"/>
      <c r="AW59" s="69"/>
      <c r="AX59" s="70"/>
      <c r="AY59" s="71"/>
      <c r="AZ59" s="145"/>
      <c r="BA59" s="146"/>
      <c r="BB59" s="146"/>
      <c r="BC59" s="146"/>
      <c r="BD59" s="146"/>
      <c r="BE59" s="145"/>
      <c r="BF59" s="146"/>
      <c r="BG59" s="146"/>
      <c r="BH59" s="146"/>
      <c r="BI59" s="146"/>
    </row>
    <row r="60" spans="2:174">
      <c r="AJ60" s="70"/>
      <c r="AK60" s="71"/>
      <c r="AL60" s="69"/>
      <c r="AM60" s="71"/>
      <c r="AN60" s="69"/>
      <c r="AO60" s="71"/>
      <c r="AP60" s="69"/>
      <c r="AQ60" s="71"/>
      <c r="AR60" s="74"/>
      <c r="AS60" s="74"/>
      <c r="AT60" s="74"/>
      <c r="AU60" s="74"/>
      <c r="AV60" s="74"/>
      <c r="AW60" s="69"/>
      <c r="AX60" s="70"/>
      <c r="AY60" s="71"/>
      <c r="AZ60" s="145"/>
      <c r="BA60" s="146"/>
      <c r="BB60" s="146"/>
      <c r="BC60" s="146"/>
      <c r="BD60" s="146"/>
      <c r="BE60" s="145"/>
      <c r="BF60" s="146"/>
      <c r="BG60" s="146"/>
      <c r="BH60" s="146"/>
      <c r="BI60" s="146"/>
    </row>
    <row r="61" spans="2:174">
      <c r="AJ61" s="70"/>
      <c r="AK61" s="71"/>
      <c r="AL61" s="69"/>
      <c r="AM61" s="71"/>
      <c r="AN61" s="69"/>
      <c r="AO61" s="71"/>
      <c r="AP61" s="69"/>
      <c r="AQ61" s="71"/>
      <c r="AR61" s="74"/>
      <c r="AS61" s="74"/>
      <c r="AT61" s="74"/>
      <c r="AU61" s="74"/>
      <c r="AV61" s="74"/>
      <c r="AW61" s="69"/>
      <c r="AX61" s="70"/>
      <c r="AY61" s="71"/>
      <c r="AZ61" s="145"/>
      <c r="BA61" s="146"/>
      <c r="BB61" s="146"/>
      <c r="BC61" s="146"/>
      <c r="BD61" s="146"/>
      <c r="BE61" s="145"/>
      <c r="BF61" s="146"/>
      <c r="BG61" s="146"/>
      <c r="BH61" s="146"/>
      <c r="BI61" s="146"/>
    </row>
    <row r="62" spans="2:174">
      <c r="AJ62" s="70"/>
      <c r="AK62" s="71"/>
      <c r="AL62" s="69"/>
      <c r="AM62" s="71"/>
      <c r="AN62" s="69"/>
      <c r="AO62" s="71"/>
      <c r="AP62" s="69"/>
      <c r="AQ62" s="71"/>
      <c r="AR62" s="74"/>
      <c r="AS62" s="74"/>
      <c r="AT62" s="74"/>
      <c r="AU62" s="74"/>
      <c r="AV62" s="74"/>
      <c r="AW62" s="69"/>
      <c r="AX62" s="70"/>
      <c r="AY62" s="71"/>
      <c r="AZ62" s="145"/>
      <c r="BA62" s="146"/>
      <c r="BB62" s="146"/>
      <c r="BC62" s="146"/>
      <c r="BD62" s="146"/>
      <c r="BE62" s="145"/>
      <c r="BF62" s="146"/>
      <c r="BG62" s="146"/>
      <c r="BH62" s="146"/>
      <c r="BI62" s="146"/>
    </row>
    <row r="63" spans="2:174">
      <c r="AJ63" s="70"/>
      <c r="AK63" s="71"/>
      <c r="AL63" s="69"/>
      <c r="AM63" s="71"/>
      <c r="AN63" s="69"/>
      <c r="AO63" s="71"/>
      <c r="AP63" s="69"/>
      <c r="AQ63" s="71"/>
      <c r="AR63" s="74"/>
      <c r="AS63" s="74"/>
      <c r="AT63" s="74"/>
      <c r="AU63" s="74"/>
      <c r="AV63" s="74"/>
      <c r="AW63" s="69"/>
      <c r="AX63" s="70"/>
      <c r="AY63" s="71"/>
      <c r="AZ63" s="145"/>
      <c r="BA63" s="146"/>
      <c r="BB63" s="146"/>
      <c r="BC63" s="146"/>
      <c r="BD63" s="146"/>
      <c r="BE63" s="145"/>
      <c r="BF63" s="146"/>
      <c r="BG63" s="146"/>
      <c r="BH63" s="146"/>
      <c r="BI63" s="146"/>
    </row>
    <row r="64" spans="2:174">
      <c r="AJ64" s="70"/>
      <c r="AK64" s="71"/>
      <c r="AL64" s="69"/>
      <c r="AM64" s="71"/>
      <c r="AN64" s="69"/>
      <c r="AO64" s="71"/>
      <c r="AP64" s="69"/>
      <c r="AQ64" s="71"/>
      <c r="AR64" s="74"/>
      <c r="AS64" s="74"/>
      <c r="AT64" s="74"/>
      <c r="AU64" s="74"/>
      <c r="AV64" s="74"/>
      <c r="AW64" s="69"/>
      <c r="AX64" s="70"/>
      <c r="AY64" s="71"/>
      <c r="AZ64" s="145"/>
      <c r="BA64" s="146"/>
      <c r="BB64" s="146"/>
      <c r="BC64" s="146"/>
      <c r="BD64" s="146"/>
      <c r="BE64" s="145"/>
      <c r="BF64" s="146"/>
      <c r="BG64" s="146"/>
      <c r="BH64" s="146"/>
      <c r="BI64" s="146"/>
    </row>
    <row r="65" spans="36:61">
      <c r="AJ65" s="70"/>
      <c r="AK65" s="71"/>
      <c r="AL65" s="69"/>
      <c r="AM65" s="71"/>
      <c r="AN65" s="69"/>
      <c r="AO65" s="71"/>
      <c r="AP65" s="69"/>
      <c r="AQ65" s="71"/>
      <c r="AR65" s="74"/>
      <c r="AS65" s="74"/>
      <c r="AT65" s="74"/>
      <c r="AU65" s="74"/>
      <c r="AV65" s="74"/>
      <c r="AW65" s="69"/>
      <c r="AX65" s="70"/>
      <c r="AY65" s="71"/>
      <c r="AZ65" s="145"/>
      <c r="BA65" s="146"/>
      <c r="BB65" s="146"/>
      <c r="BC65" s="146"/>
      <c r="BD65" s="146"/>
      <c r="BE65" s="145"/>
      <c r="BF65" s="146"/>
      <c r="BG65" s="146"/>
      <c r="BH65" s="146"/>
      <c r="BI65" s="146"/>
    </row>
    <row r="66" spans="36:61">
      <c r="AJ66" s="70"/>
      <c r="AK66" s="71"/>
      <c r="AL66" s="69"/>
      <c r="AM66" s="71"/>
      <c r="AN66" s="69"/>
      <c r="AO66" s="71"/>
      <c r="AP66" s="69"/>
      <c r="AQ66" s="71"/>
      <c r="AR66" s="74"/>
      <c r="AS66" s="74"/>
      <c r="AT66" s="74"/>
      <c r="AU66" s="74"/>
      <c r="AV66" s="74"/>
      <c r="AW66" s="69"/>
      <c r="AX66" s="70"/>
      <c r="AY66" s="71"/>
      <c r="AZ66" s="145"/>
      <c r="BA66" s="146"/>
      <c r="BB66" s="146"/>
      <c r="BC66" s="146"/>
      <c r="BD66" s="146"/>
      <c r="BE66" s="145"/>
      <c r="BF66" s="146"/>
      <c r="BG66" s="146"/>
      <c r="BH66" s="146"/>
      <c r="BI66" s="146"/>
    </row>
    <row r="67" spans="36:61">
      <c r="AJ67" s="70"/>
      <c r="AK67" s="71"/>
      <c r="AL67" s="69"/>
      <c r="AM67" s="71"/>
      <c r="AN67" s="69"/>
      <c r="AO67" s="71"/>
      <c r="AP67" s="69"/>
      <c r="AQ67" s="71"/>
      <c r="AR67" s="74"/>
      <c r="AS67" s="74"/>
      <c r="AT67" s="74"/>
      <c r="AU67" s="74"/>
      <c r="AV67" s="74"/>
      <c r="AW67" s="69"/>
      <c r="AX67" s="70"/>
      <c r="AY67" s="71"/>
      <c r="AZ67" s="145"/>
      <c r="BA67" s="146"/>
      <c r="BB67" s="146"/>
      <c r="BC67" s="146"/>
      <c r="BD67" s="146"/>
      <c r="BE67" s="145"/>
      <c r="BF67" s="146"/>
      <c r="BG67" s="146"/>
      <c r="BH67" s="146"/>
      <c r="BI67" s="146"/>
    </row>
    <row r="68" spans="36:61">
      <c r="AM68" s="6"/>
      <c r="AN68" s="6"/>
      <c r="AO68" s="6"/>
    </row>
  </sheetData>
  <autoFilter ref="B5:Q45" xr:uid="{00000000-0001-0000-0400-000000000000}">
    <filterColumn colId="0" showButton="0"/>
    <filterColumn colId="2" showButton="0"/>
    <filterColumn colId="4" showButton="0"/>
    <filterColumn colId="6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</autoFilter>
  <mergeCells count="2436">
    <mergeCell ref="ES51:ET51"/>
    <mergeCell ref="EU51:EV51"/>
    <mergeCell ref="EW51:EX51"/>
    <mergeCell ref="EY51:EZ51"/>
    <mergeCell ref="FA51:FE51"/>
    <mergeCell ref="FF51:FH51"/>
    <mergeCell ref="FI51:FM51"/>
    <mergeCell ref="FN51:FR51"/>
    <mergeCell ref="ES48:ET48"/>
    <mergeCell ref="EU48:EV48"/>
    <mergeCell ref="EW48:EX48"/>
    <mergeCell ref="EY48:EZ48"/>
    <mergeCell ref="FA48:FE48"/>
    <mergeCell ref="FF48:FH48"/>
    <mergeCell ref="FI48:FM48"/>
    <mergeCell ref="FN48:FR48"/>
    <mergeCell ref="ES50:ET50"/>
    <mergeCell ref="EU50:EV50"/>
    <mergeCell ref="EW50:EX50"/>
    <mergeCell ref="EY50:EZ50"/>
    <mergeCell ref="FA50:FE50"/>
    <mergeCell ref="EW49:EX49"/>
    <mergeCell ref="EY49:EZ49"/>
    <mergeCell ref="FA49:FE49"/>
    <mergeCell ref="FF49:FH49"/>
    <mergeCell ref="FI49:FM49"/>
    <mergeCell ref="FN49:FR49"/>
    <mergeCell ref="FF50:FH50"/>
    <mergeCell ref="FI50:FM50"/>
    <mergeCell ref="FN50:FR50"/>
    <mergeCell ref="FW12:GA12"/>
    <mergeCell ref="FW13:GA13"/>
    <mergeCell ref="FW14:GA14"/>
    <mergeCell ref="ES13:ET13"/>
    <mergeCell ref="EU13:EV13"/>
    <mergeCell ref="EW13:EX13"/>
    <mergeCell ref="EY13:EZ13"/>
    <mergeCell ref="FA12:FE12"/>
    <mergeCell ref="FF13:FH13"/>
    <mergeCell ref="FI13:FM13"/>
    <mergeCell ref="FN13:FR13"/>
    <mergeCell ref="ES44:ET44"/>
    <mergeCell ref="EU44:EV44"/>
    <mergeCell ref="EW44:EX44"/>
    <mergeCell ref="EY44:EZ44"/>
    <mergeCell ref="FA44:FE44"/>
    <mergeCell ref="ES38:ET38"/>
    <mergeCell ref="EU38:EV38"/>
    <mergeCell ref="EW38:EX38"/>
    <mergeCell ref="EY38:EZ38"/>
    <mergeCell ref="FA38:FE38"/>
    <mergeCell ref="ES12:ET12"/>
    <mergeCell ref="EU12:EV12"/>
    <mergeCell ref="EW12:EX12"/>
    <mergeCell ref="EY12:EZ12"/>
    <mergeCell ref="EU39:EV39"/>
    <mergeCell ref="EW39:EX39"/>
    <mergeCell ref="EY39:EZ39"/>
    <mergeCell ref="FA39:FE39"/>
    <mergeCell ref="FF39:FH39"/>
    <mergeCell ref="FI39:FM39"/>
    <mergeCell ref="FN39:FR39"/>
    <mergeCell ref="FA11:FE11"/>
    <mergeCell ref="FF12:FH12"/>
    <mergeCell ref="FI12:FM12"/>
    <mergeCell ref="FN12:FR12"/>
    <mergeCell ref="ES46:ET46"/>
    <mergeCell ref="EU46:EV46"/>
    <mergeCell ref="EW46:EX46"/>
    <mergeCell ref="EY46:EZ46"/>
    <mergeCell ref="FA46:FE46"/>
    <mergeCell ref="FF41:FH41"/>
    <mergeCell ref="FI41:FM41"/>
    <mergeCell ref="FN41:FR41"/>
    <mergeCell ref="ES42:ET42"/>
    <mergeCell ref="EU42:EV42"/>
    <mergeCell ref="EW42:EX42"/>
    <mergeCell ref="EY42:EZ42"/>
    <mergeCell ref="FA42:FE42"/>
    <mergeCell ref="FF42:FH42"/>
    <mergeCell ref="FI42:FM42"/>
    <mergeCell ref="FN42:FR42"/>
    <mergeCell ref="FF46:FH46"/>
    <mergeCell ref="FI46:FM46"/>
    <mergeCell ref="FN46:FR46"/>
    <mergeCell ref="FF44:FH44"/>
    <mergeCell ref="FI44:FM44"/>
    <mergeCell ref="FN44:FR44"/>
    <mergeCell ref="ES45:ET45"/>
    <mergeCell ref="EU45:EV45"/>
    <mergeCell ref="FF38:FH38"/>
    <mergeCell ref="FI38:FM38"/>
    <mergeCell ref="FN38:FR38"/>
    <mergeCell ref="ES39:ET39"/>
    <mergeCell ref="ES47:ET47"/>
    <mergeCell ref="EU47:EV47"/>
    <mergeCell ref="EW47:EX47"/>
    <mergeCell ref="EY47:EZ47"/>
    <mergeCell ref="FA47:FE47"/>
    <mergeCell ref="FF47:FH47"/>
    <mergeCell ref="FI47:FM47"/>
    <mergeCell ref="FN47:FR47"/>
    <mergeCell ref="ES43:ET43"/>
    <mergeCell ref="EU43:EV43"/>
    <mergeCell ref="EW43:EX43"/>
    <mergeCell ref="EY43:EZ43"/>
    <mergeCell ref="FA43:FE43"/>
    <mergeCell ref="FF43:FH43"/>
    <mergeCell ref="FI43:FM43"/>
    <mergeCell ref="FN43:FR43"/>
    <mergeCell ref="ES49:ET49"/>
    <mergeCell ref="EU49:EV49"/>
    <mergeCell ref="EW45:EX45"/>
    <mergeCell ref="EY45:EZ45"/>
    <mergeCell ref="FA45:FE45"/>
    <mergeCell ref="FF45:FH45"/>
    <mergeCell ref="FI45:FM45"/>
    <mergeCell ref="FN45:FR45"/>
    <mergeCell ref="ES40:ET40"/>
    <mergeCell ref="EU40:EV40"/>
    <mergeCell ref="EW40:EX40"/>
    <mergeCell ref="EY40:EZ40"/>
    <mergeCell ref="FA40:FE40"/>
    <mergeCell ref="FF40:FH40"/>
    <mergeCell ref="FI40:FM40"/>
    <mergeCell ref="FN40:FR40"/>
    <mergeCell ref="ES41:ET41"/>
    <mergeCell ref="EU41:EV41"/>
    <mergeCell ref="EW41:EX41"/>
    <mergeCell ref="EY41:EZ41"/>
    <mergeCell ref="FA41:FE41"/>
    <mergeCell ref="ES35:ET35"/>
    <mergeCell ref="EU35:EV35"/>
    <mergeCell ref="EW35:EX35"/>
    <mergeCell ref="EY35:EZ35"/>
    <mergeCell ref="FA35:FE35"/>
    <mergeCell ref="FF35:FH35"/>
    <mergeCell ref="FI35:FM35"/>
    <mergeCell ref="FN35:FR35"/>
    <mergeCell ref="ES36:ET36"/>
    <mergeCell ref="EU36:EV36"/>
    <mergeCell ref="EW36:EX36"/>
    <mergeCell ref="EY36:EZ36"/>
    <mergeCell ref="FA36:FE36"/>
    <mergeCell ref="FF36:FH36"/>
    <mergeCell ref="FI36:FM36"/>
    <mergeCell ref="FN36:FR36"/>
    <mergeCell ref="ES37:ET37"/>
    <mergeCell ref="EU37:EV37"/>
    <mergeCell ref="EW37:EX37"/>
    <mergeCell ref="ES32:ET32"/>
    <mergeCell ref="EU32:EV32"/>
    <mergeCell ref="EW32:EX32"/>
    <mergeCell ref="EY32:EZ32"/>
    <mergeCell ref="FA32:FE32"/>
    <mergeCell ref="FF32:FH32"/>
    <mergeCell ref="FI32:FM32"/>
    <mergeCell ref="FN32:FR32"/>
    <mergeCell ref="EY37:EZ37"/>
    <mergeCell ref="FA37:FE37"/>
    <mergeCell ref="FF37:FH37"/>
    <mergeCell ref="FI37:FM37"/>
    <mergeCell ref="FN37:FR37"/>
    <mergeCell ref="ES33:ET33"/>
    <mergeCell ref="EU33:EV33"/>
    <mergeCell ref="EW33:EX33"/>
    <mergeCell ref="EY33:EZ33"/>
    <mergeCell ref="FA33:FE33"/>
    <mergeCell ref="FF33:FH33"/>
    <mergeCell ref="FI33:FM33"/>
    <mergeCell ref="FN33:FR33"/>
    <mergeCell ref="ES34:ET34"/>
    <mergeCell ref="EU34:EV34"/>
    <mergeCell ref="EW34:EX34"/>
    <mergeCell ref="EY34:EZ34"/>
    <mergeCell ref="FA34:FE34"/>
    <mergeCell ref="FF34:FH34"/>
    <mergeCell ref="FI34:FM34"/>
    <mergeCell ref="FN34:FR34"/>
    <mergeCell ref="ES29:ET29"/>
    <mergeCell ref="EU29:EV29"/>
    <mergeCell ref="EW29:EX29"/>
    <mergeCell ref="EY29:EZ29"/>
    <mergeCell ref="FA29:FE29"/>
    <mergeCell ref="FF29:FH29"/>
    <mergeCell ref="FI29:FM29"/>
    <mergeCell ref="FN29:FR29"/>
    <mergeCell ref="ES30:ET30"/>
    <mergeCell ref="EU30:EV30"/>
    <mergeCell ref="EW30:EX30"/>
    <mergeCell ref="EY30:EZ30"/>
    <mergeCell ref="FA30:FE30"/>
    <mergeCell ref="FF30:FH30"/>
    <mergeCell ref="FI30:FM30"/>
    <mergeCell ref="FN30:FR30"/>
    <mergeCell ref="ES31:ET31"/>
    <mergeCell ref="EU31:EV31"/>
    <mergeCell ref="EW31:EX31"/>
    <mergeCell ref="EY31:EZ31"/>
    <mergeCell ref="FA31:FE31"/>
    <mergeCell ref="FF31:FH31"/>
    <mergeCell ref="FI31:FM31"/>
    <mergeCell ref="FN31:FR31"/>
    <mergeCell ref="ES27:ET27"/>
    <mergeCell ref="EU27:EV27"/>
    <mergeCell ref="EW27:EX27"/>
    <mergeCell ref="EY27:EZ27"/>
    <mergeCell ref="FA27:FE27"/>
    <mergeCell ref="FF27:FH27"/>
    <mergeCell ref="FI27:FM27"/>
    <mergeCell ref="FN27:FR27"/>
    <mergeCell ref="ES21:ET21"/>
    <mergeCell ref="EU21:EV21"/>
    <mergeCell ref="EW21:EX21"/>
    <mergeCell ref="EY21:EZ21"/>
    <mergeCell ref="FA21:FE21"/>
    <mergeCell ref="FF21:FH21"/>
    <mergeCell ref="FI21:FM21"/>
    <mergeCell ref="FN21:FR21"/>
    <mergeCell ref="ES28:ET28"/>
    <mergeCell ref="EU28:EV28"/>
    <mergeCell ref="EW28:EX28"/>
    <mergeCell ref="EY28:EZ28"/>
    <mergeCell ref="FA28:FE28"/>
    <mergeCell ref="FF28:FH28"/>
    <mergeCell ref="FI28:FM28"/>
    <mergeCell ref="FN28:FR28"/>
    <mergeCell ref="ES22:ET22"/>
    <mergeCell ref="EU22:EV22"/>
    <mergeCell ref="EW22:EX22"/>
    <mergeCell ref="EY22:EZ22"/>
    <mergeCell ref="FA22:FE22"/>
    <mergeCell ref="FF22:FH22"/>
    <mergeCell ref="FI22:FM22"/>
    <mergeCell ref="FN22:FR22"/>
    <mergeCell ref="ES19:ET19"/>
    <mergeCell ref="EU19:EV19"/>
    <mergeCell ref="EW19:EX19"/>
    <mergeCell ref="EY19:EZ19"/>
    <mergeCell ref="FA19:FE19"/>
    <mergeCell ref="FF19:FH19"/>
    <mergeCell ref="FI19:FM19"/>
    <mergeCell ref="FN19:FR19"/>
    <mergeCell ref="ES20:ET20"/>
    <mergeCell ref="EU20:EV20"/>
    <mergeCell ref="EW20:EX20"/>
    <mergeCell ref="EY20:EZ20"/>
    <mergeCell ref="FA20:FE20"/>
    <mergeCell ref="FF20:FH20"/>
    <mergeCell ref="FI20:FM20"/>
    <mergeCell ref="FN20:FR20"/>
    <mergeCell ref="ES26:ET26"/>
    <mergeCell ref="EU26:EV26"/>
    <mergeCell ref="EW26:EX26"/>
    <mergeCell ref="EY26:EZ26"/>
    <mergeCell ref="FA26:FE26"/>
    <mergeCell ref="FF26:FH26"/>
    <mergeCell ref="FI26:FM26"/>
    <mergeCell ref="FN26:FR26"/>
    <mergeCell ref="ES25:ET25"/>
    <mergeCell ref="EU25:EV25"/>
    <mergeCell ref="EW25:EX25"/>
    <mergeCell ref="EY25:EZ25"/>
    <mergeCell ref="FA25:FE25"/>
    <mergeCell ref="FF25:FH25"/>
    <mergeCell ref="FI25:FM25"/>
    <mergeCell ref="FN25:FR25"/>
    <mergeCell ref="ES16:ET16"/>
    <mergeCell ref="EU16:EV16"/>
    <mergeCell ref="EW16:EX16"/>
    <mergeCell ref="EY16:EZ16"/>
    <mergeCell ref="FA16:FE16"/>
    <mergeCell ref="FF16:FH16"/>
    <mergeCell ref="FI16:FM16"/>
    <mergeCell ref="FN16:FR16"/>
    <mergeCell ref="ES17:ET17"/>
    <mergeCell ref="EU17:EV17"/>
    <mergeCell ref="EW17:EX17"/>
    <mergeCell ref="EY17:EZ17"/>
    <mergeCell ref="FA17:FE17"/>
    <mergeCell ref="FF17:FH17"/>
    <mergeCell ref="FI17:FM17"/>
    <mergeCell ref="FN17:FR17"/>
    <mergeCell ref="ES18:ET18"/>
    <mergeCell ref="EU18:EV18"/>
    <mergeCell ref="EW18:EX18"/>
    <mergeCell ref="EY18:EZ18"/>
    <mergeCell ref="FA18:FE18"/>
    <mergeCell ref="FF18:FH18"/>
    <mergeCell ref="FI18:FM18"/>
    <mergeCell ref="FN18:FR18"/>
    <mergeCell ref="ES10:ET10"/>
    <mergeCell ref="EU10:EV10"/>
    <mergeCell ref="EW10:EX10"/>
    <mergeCell ref="EY10:EZ10"/>
    <mergeCell ref="FA10:FE10"/>
    <mergeCell ref="FF10:FH10"/>
    <mergeCell ref="FI10:FM10"/>
    <mergeCell ref="FN10:FR10"/>
    <mergeCell ref="ES14:ET14"/>
    <mergeCell ref="EU14:EV14"/>
    <mergeCell ref="EW14:EX14"/>
    <mergeCell ref="EY14:EZ14"/>
    <mergeCell ref="FA14:FE14"/>
    <mergeCell ref="FF14:FH14"/>
    <mergeCell ref="FI14:FM14"/>
    <mergeCell ref="FN14:FR14"/>
    <mergeCell ref="ES15:ET15"/>
    <mergeCell ref="EU15:EV15"/>
    <mergeCell ref="EW15:EX15"/>
    <mergeCell ref="EY15:EZ15"/>
    <mergeCell ref="FA15:FE15"/>
    <mergeCell ref="FF15:FH15"/>
    <mergeCell ref="FI15:FM15"/>
    <mergeCell ref="FN15:FR15"/>
    <mergeCell ref="ES11:ET11"/>
    <mergeCell ref="EU11:EV11"/>
    <mergeCell ref="EW11:EX11"/>
    <mergeCell ref="EY11:EZ11"/>
    <mergeCell ref="FA13:FE13"/>
    <mergeCell ref="FF11:FH11"/>
    <mergeCell ref="FI11:FM11"/>
    <mergeCell ref="FN11:FR11"/>
    <mergeCell ref="FA9:FE9"/>
    <mergeCell ref="FF7:FH7"/>
    <mergeCell ref="FI7:FM7"/>
    <mergeCell ref="FN7:FR7"/>
    <mergeCell ref="ES8:ET8"/>
    <mergeCell ref="EU8:EV8"/>
    <mergeCell ref="EW8:EX8"/>
    <mergeCell ref="EY8:EZ8"/>
    <mergeCell ref="FA7:FE7"/>
    <mergeCell ref="FF8:FH8"/>
    <mergeCell ref="FI8:FM8"/>
    <mergeCell ref="FN8:FR8"/>
    <mergeCell ref="ES9:ET9"/>
    <mergeCell ref="EU9:EV9"/>
    <mergeCell ref="EW9:EX9"/>
    <mergeCell ref="EY9:EZ9"/>
    <mergeCell ref="FA8:FE8"/>
    <mergeCell ref="FF9:FH9"/>
    <mergeCell ref="FI9:FM9"/>
    <mergeCell ref="FN9:FR9"/>
    <mergeCell ref="ES5:ET5"/>
    <mergeCell ref="EU5:EV5"/>
    <mergeCell ref="EW5:EX5"/>
    <mergeCell ref="EY5:EZ5"/>
    <mergeCell ref="FA5:FE5"/>
    <mergeCell ref="FF5:FH5"/>
    <mergeCell ref="FI5:FM5"/>
    <mergeCell ref="FN5:FR5"/>
    <mergeCell ref="ES6:ET6"/>
    <mergeCell ref="EU6:EV6"/>
    <mergeCell ref="EW6:EX6"/>
    <mergeCell ref="EY6:EZ6"/>
    <mergeCell ref="FA6:FE6"/>
    <mergeCell ref="FF6:FH6"/>
    <mergeCell ref="FI6:FM6"/>
    <mergeCell ref="FN6:FR6"/>
    <mergeCell ref="ES7:ET7"/>
    <mergeCell ref="EU7:EV7"/>
    <mergeCell ref="EW7:EX7"/>
    <mergeCell ref="EY7:EZ7"/>
    <mergeCell ref="EL39:EP39"/>
    <mergeCell ref="EL40:EP40"/>
    <mergeCell ref="EL41:EP41"/>
    <mergeCell ref="EL42:EP42"/>
    <mergeCell ref="EL43:EP43"/>
    <mergeCell ref="EL44:EP44"/>
    <mergeCell ref="EL45:EP45"/>
    <mergeCell ref="EL46:EP46"/>
    <mergeCell ref="EL47:EP47"/>
    <mergeCell ref="EL48:EP48"/>
    <mergeCell ref="EL49:EP49"/>
    <mergeCell ref="EL50:EP50"/>
    <mergeCell ref="EL51:EP51"/>
    <mergeCell ref="EL52:EP52"/>
    <mergeCell ref="EL53:EP53"/>
    <mergeCell ref="EL22:EP22"/>
    <mergeCell ref="EL23:EP23"/>
    <mergeCell ref="EL24:EP24"/>
    <mergeCell ref="EL25:EP25"/>
    <mergeCell ref="EL26:EP26"/>
    <mergeCell ref="EL27:EP27"/>
    <mergeCell ref="EL28:EP28"/>
    <mergeCell ref="EL29:EP29"/>
    <mergeCell ref="EL30:EP30"/>
    <mergeCell ref="EL31:EP31"/>
    <mergeCell ref="EL32:EP32"/>
    <mergeCell ref="EL33:EP33"/>
    <mergeCell ref="EL34:EP34"/>
    <mergeCell ref="EL35:EP35"/>
    <mergeCell ref="EL36:EP36"/>
    <mergeCell ref="EL37:EP37"/>
    <mergeCell ref="EL38:EP38"/>
    <mergeCell ref="DJ39:DN39"/>
    <mergeCell ref="DJ40:DN40"/>
    <mergeCell ref="DJ41:DN41"/>
    <mergeCell ref="DJ42:DN42"/>
    <mergeCell ref="DJ43:DN43"/>
    <mergeCell ref="DJ44:DN44"/>
    <mergeCell ref="DJ45:DN45"/>
    <mergeCell ref="DJ46:DN46"/>
    <mergeCell ref="DJ47:DN47"/>
    <mergeCell ref="DJ48:DN48"/>
    <mergeCell ref="DJ49:DN49"/>
    <mergeCell ref="DJ50:DN50"/>
    <mergeCell ref="DJ51:DN51"/>
    <mergeCell ref="DJ52:DN52"/>
    <mergeCell ref="DJ53:DN53"/>
    <mergeCell ref="EL5:EP5"/>
    <mergeCell ref="EL6:EP6"/>
    <mergeCell ref="EL7:EP7"/>
    <mergeCell ref="EL8:EP8"/>
    <mergeCell ref="EL9:EP9"/>
    <mergeCell ref="EL10:EP10"/>
    <mergeCell ref="EL11:EP11"/>
    <mergeCell ref="EL12:EP12"/>
    <mergeCell ref="EL13:EP13"/>
    <mergeCell ref="EL14:EP14"/>
    <mergeCell ref="EL15:EP15"/>
    <mergeCell ref="EL16:EP16"/>
    <mergeCell ref="EL17:EP17"/>
    <mergeCell ref="EL18:EP18"/>
    <mergeCell ref="EL19:EP19"/>
    <mergeCell ref="EL20:EP20"/>
    <mergeCell ref="EL21:EP21"/>
    <mergeCell ref="DJ22:DN22"/>
    <mergeCell ref="DJ23:DN23"/>
    <mergeCell ref="DJ24:DN24"/>
    <mergeCell ref="DJ25:DN25"/>
    <mergeCell ref="DJ26:DN26"/>
    <mergeCell ref="DJ27:DN27"/>
    <mergeCell ref="DJ28:DN28"/>
    <mergeCell ref="DJ29:DN29"/>
    <mergeCell ref="DJ30:DN30"/>
    <mergeCell ref="DJ31:DN31"/>
    <mergeCell ref="DJ32:DN32"/>
    <mergeCell ref="DJ33:DN33"/>
    <mergeCell ref="DJ34:DN34"/>
    <mergeCell ref="DJ35:DN35"/>
    <mergeCell ref="DJ36:DN36"/>
    <mergeCell ref="DJ37:DN37"/>
    <mergeCell ref="DJ38:DN38"/>
    <mergeCell ref="CG39:CK39"/>
    <mergeCell ref="CG40:CK40"/>
    <mergeCell ref="CG41:CK41"/>
    <mergeCell ref="CG42:CK42"/>
    <mergeCell ref="CG43:CK43"/>
    <mergeCell ref="CG44:CK44"/>
    <mergeCell ref="CG45:CK45"/>
    <mergeCell ref="CG46:CK46"/>
    <mergeCell ref="CG47:CK47"/>
    <mergeCell ref="CG48:CK48"/>
    <mergeCell ref="CG49:CK49"/>
    <mergeCell ref="CG50:CK50"/>
    <mergeCell ref="CG51:CK51"/>
    <mergeCell ref="CG52:CK52"/>
    <mergeCell ref="CG53:CK53"/>
    <mergeCell ref="DJ5:DN5"/>
    <mergeCell ref="DJ6:DN6"/>
    <mergeCell ref="DJ7:DN7"/>
    <mergeCell ref="DJ8:DN8"/>
    <mergeCell ref="DJ9:DN9"/>
    <mergeCell ref="DJ10:DN10"/>
    <mergeCell ref="DJ11:DN11"/>
    <mergeCell ref="DJ12:DN12"/>
    <mergeCell ref="DJ13:DN13"/>
    <mergeCell ref="DJ14:DN14"/>
    <mergeCell ref="DJ15:DN15"/>
    <mergeCell ref="DJ16:DN16"/>
    <mergeCell ref="DJ17:DN17"/>
    <mergeCell ref="DJ18:DN18"/>
    <mergeCell ref="DJ19:DN19"/>
    <mergeCell ref="DJ20:DN20"/>
    <mergeCell ref="DJ21:DN21"/>
    <mergeCell ref="CG22:CK22"/>
    <mergeCell ref="CG23:CK23"/>
    <mergeCell ref="CG24:CK24"/>
    <mergeCell ref="CG25:CK25"/>
    <mergeCell ref="CG26:CK26"/>
    <mergeCell ref="CG27:CK27"/>
    <mergeCell ref="CG28:CK28"/>
    <mergeCell ref="CG29:CK29"/>
    <mergeCell ref="CG30:CK30"/>
    <mergeCell ref="CG31:CK31"/>
    <mergeCell ref="CG32:CK32"/>
    <mergeCell ref="CG33:CK33"/>
    <mergeCell ref="CG34:CK34"/>
    <mergeCell ref="CG35:CK35"/>
    <mergeCell ref="CG36:CK36"/>
    <mergeCell ref="CG37:CK37"/>
    <mergeCell ref="CG38:CK38"/>
    <mergeCell ref="BE53:BI53"/>
    <mergeCell ref="BE54:BI54"/>
    <mergeCell ref="BE55:BI55"/>
    <mergeCell ref="BE56:BI56"/>
    <mergeCell ref="BE57:BI57"/>
    <mergeCell ref="BE58:BI58"/>
    <mergeCell ref="BE59:BI59"/>
    <mergeCell ref="BE60:BI60"/>
    <mergeCell ref="BE61:BI61"/>
    <mergeCell ref="BE62:BI62"/>
    <mergeCell ref="BE63:BI63"/>
    <mergeCell ref="BE64:BI64"/>
    <mergeCell ref="BE65:BI65"/>
    <mergeCell ref="BE66:BI66"/>
    <mergeCell ref="BE67:BI67"/>
    <mergeCell ref="CG5:CK5"/>
    <mergeCell ref="CG6:CK6"/>
    <mergeCell ref="CG7:CK7"/>
    <mergeCell ref="CG8:CK8"/>
    <mergeCell ref="CG9:CK9"/>
    <mergeCell ref="CG10:CK10"/>
    <mergeCell ref="CG11:CK11"/>
    <mergeCell ref="CG12:CK12"/>
    <mergeCell ref="CG13:CK13"/>
    <mergeCell ref="CG14:CK14"/>
    <mergeCell ref="CG15:CK15"/>
    <mergeCell ref="CG16:CK16"/>
    <mergeCell ref="CG17:CK17"/>
    <mergeCell ref="CG18:CK18"/>
    <mergeCell ref="CG19:CK19"/>
    <mergeCell ref="CG20:CK20"/>
    <mergeCell ref="CG21:CK21"/>
    <mergeCell ref="BE36:BI36"/>
    <mergeCell ref="BE37:BI37"/>
    <mergeCell ref="BE38:BI38"/>
    <mergeCell ref="BE39:BI39"/>
    <mergeCell ref="BE40:BI40"/>
    <mergeCell ref="BE41:BI41"/>
    <mergeCell ref="BE42:BI42"/>
    <mergeCell ref="BE43:BI43"/>
    <mergeCell ref="BE44:BI44"/>
    <mergeCell ref="BE45:BI45"/>
    <mergeCell ref="BE46:BI46"/>
    <mergeCell ref="BE47:BI47"/>
    <mergeCell ref="BE48:BI48"/>
    <mergeCell ref="BE49:BI49"/>
    <mergeCell ref="BE50:BI50"/>
    <mergeCell ref="BE51:BI51"/>
    <mergeCell ref="BE52:BI52"/>
    <mergeCell ref="BE5:BI5"/>
    <mergeCell ref="BE6:BI6"/>
    <mergeCell ref="BE7:BI7"/>
    <mergeCell ref="BE8:BI8"/>
    <mergeCell ref="BE9:BI9"/>
    <mergeCell ref="BE14:BI14"/>
    <mergeCell ref="BE15:BI15"/>
    <mergeCell ref="BE16:BI16"/>
    <mergeCell ref="BE17:BI17"/>
    <mergeCell ref="BE22:BI22"/>
    <mergeCell ref="BE23:BI23"/>
    <mergeCell ref="BE24:BI24"/>
    <mergeCell ref="BE25:BI25"/>
    <mergeCell ref="BE26:BI26"/>
    <mergeCell ref="BE27:BI27"/>
    <mergeCell ref="BE34:BI34"/>
    <mergeCell ref="BE35:BI35"/>
    <mergeCell ref="BE19:BI19"/>
    <mergeCell ref="DQ53:DR53"/>
    <mergeCell ref="DS53:DT53"/>
    <mergeCell ref="DU53:DV53"/>
    <mergeCell ref="DW53:DX53"/>
    <mergeCell ref="DY53:EC53"/>
    <mergeCell ref="ED53:EF53"/>
    <mergeCell ref="DQ51:DR51"/>
    <mergeCell ref="DS51:DT51"/>
    <mergeCell ref="DU51:DV51"/>
    <mergeCell ref="DW51:DX51"/>
    <mergeCell ref="DY51:EC51"/>
    <mergeCell ref="ED51:EF51"/>
    <mergeCell ref="DQ52:DR52"/>
    <mergeCell ref="DS52:DT52"/>
    <mergeCell ref="DU52:DV52"/>
    <mergeCell ref="DW52:DX52"/>
    <mergeCell ref="DY52:EC52"/>
    <mergeCell ref="ED52:EF52"/>
    <mergeCell ref="DQ49:DR49"/>
    <mergeCell ref="DS49:DT49"/>
    <mergeCell ref="DU49:DV49"/>
    <mergeCell ref="DW49:DX49"/>
    <mergeCell ref="DY49:EC49"/>
    <mergeCell ref="ED49:EF49"/>
    <mergeCell ref="DQ50:DR50"/>
    <mergeCell ref="DS50:DT50"/>
    <mergeCell ref="DU50:DV50"/>
    <mergeCell ref="DW50:DX50"/>
    <mergeCell ref="DY50:EC50"/>
    <mergeCell ref="ED50:EF50"/>
    <mergeCell ref="DQ47:DR47"/>
    <mergeCell ref="DS47:DT47"/>
    <mergeCell ref="DU47:DV47"/>
    <mergeCell ref="DW47:DX47"/>
    <mergeCell ref="DY47:EC47"/>
    <mergeCell ref="ED47:EF47"/>
    <mergeCell ref="DQ48:DR48"/>
    <mergeCell ref="DS48:DT48"/>
    <mergeCell ref="DU48:DV48"/>
    <mergeCell ref="DW48:DX48"/>
    <mergeCell ref="DY48:EC48"/>
    <mergeCell ref="ED48:EF48"/>
    <mergeCell ref="DQ46:DR46"/>
    <mergeCell ref="DS46:DT46"/>
    <mergeCell ref="DU46:DV46"/>
    <mergeCell ref="DW46:DX46"/>
    <mergeCell ref="DY46:EC46"/>
    <mergeCell ref="ED46:EF46"/>
    <mergeCell ref="DQ43:DR43"/>
    <mergeCell ref="DS43:DT43"/>
    <mergeCell ref="DU43:DV43"/>
    <mergeCell ref="DW43:DX43"/>
    <mergeCell ref="DY43:EC43"/>
    <mergeCell ref="ED43:EF43"/>
    <mergeCell ref="DQ44:DR44"/>
    <mergeCell ref="DS44:DT44"/>
    <mergeCell ref="DU44:DV44"/>
    <mergeCell ref="DW44:DX44"/>
    <mergeCell ref="DY44:EC44"/>
    <mergeCell ref="ED44:EF44"/>
    <mergeCell ref="DW42:DX42"/>
    <mergeCell ref="DY42:EC42"/>
    <mergeCell ref="ED42:EF42"/>
    <mergeCell ref="DQ39:DR39"/>
    <mergeCell ref="DS39:DT39"/>
    <mergeCell ref="DU39:DV39"/>
    <mergeCell ref="DW39:DX39"/>
    <mergeCell ref="DY39:EC39"/>
    <mergeCell ref="ED39:EF39"/>
    <mergeCell ref="DQ40:DR40"/>
    <mergeCell ref="DS40:DT40"/>
    <mergeCell ref="DU40:DV40"/>
    <mergeCell ref="DW40:DX40"/>
    <mergeCell ref="DY40:EC40"/>
    <mergeCell ref="ED40:EF40"/>
    <mergeCell ref="DQ45:DR45"/>
    <mergeCell ref="DS45:DT45"/>
    <mergeCell ref="DU45:DV45"/>
    <mergeCell ref="DW45:DX45"/>
    <mergeCell ref="DY45:EC45"/>
    <mergeCell ref="ED45:EF45"/>
    <mergeCell ref="DQ35:DR35"/>
    <mergeCell ref="DS35:DT35"/>
    <mergeCell ref="DU35:DV35"/>
    <mergeCell ref="DW35:DX35"/>
    <mergeCell ref="DY35:EC35"/>
    <mergeCell ref="ED35:EF35"/>
    <mergeCell ref="DQ36:DR36"/>
    <mergeCell ref="DS36:DT36"/>
    <mergeCell ref="DU36:DV36"/>
    <mergeCell ref="DW36:DX36"/>
    <mergeCell ref="DY36:EC36"/>
    <mergeCell ref="ED36:EF36"/>
    <mergeCell ref="DQ41:DR41"/>
    <mergeCell ref="DS41:DT41"/>
    <mergeCell ref="DU41:DV41"/>
    <mergeCell ref="DW41:DX41"/>
    <mergeCell ref="DY41:EC41"/>
    <mergeCell ref="ED41:EF41"/>
    <mergeCell ref="DQ33:DR33"/>
    <mergeCell ref="DS33:DT33"/>
    <mergeCell ref="DU33:DV33"/>
    <mergeCell ref="DW33:DX33"/>
    <mergeCell ref="DY33:EC33"/>
    <mergeCell ref="ED33:EF33"/>
    <mergeCell ref="DQ34:DR34"/>
    <mergeCell ref="DS34:DT34"/>
    <mergeCell ref="DU34:DV34"/>
    <mergeCell ref="DW34:DX34"/>
    <mergeCell ref="DY34:EC34"/>
    <mergeCell ref="ED34:EF34"/>
    <mergeCell ref="DQ31:DR31"/>
    <mergeCell ref="DS31:DT31"/>
    <mergeCell ref="DU31:DV31"/>
    <mergeCell ref="DW31:DX31"/>
    <mergeCell ref="DY31:EC31"/>
    <mergeCell ref="ED31:EF31"/>
    <mergeCell ref="DQ32:DR32"/>
    <mergeCell ref="DS32:DT32"/>
    <mergeCell ref="DU32:DV32"/>
    <mergeCell ref="DW32:DX32"/>
    <mergeCell ref="DY32:EC32"/>
    <mergeCell ref="ED32:EF32"/>
    <mergeCell ref="DQ29:DR29"/>
    <mergeCell ref="DS29:DT29"/>
    <mergeCell ref="DU29:DV29"/>
    <mergeCell ref="DW29:DX29"/>
    <mergeCell ref="DY29:EC29"/>
    <mergeCell ref="ED29:EF29"/>
    <mergeCell ref="DQ30:DR30"/>
    <mergeCell ref="DS30:DT30"/>
    <mergeCell ref="DU30:DV30"/>
    <mergeCell ref="DW30:DX30"/>
    <mergeCell ref="DY30:EC30"/>
    <mergeCell ref="ED30:EF30"/>
    <mergeCell ref="DQ27:DR27"/>
    <mergeCell ref="DS27:DT27"/>
    <mergeCell ref="DU27:DV27"/>
    <mergeCell ref="DW27:DX27"/>
    <mergeCell ref="DY27:EC27"/>
    <mergeCell ref="ED27:EF27"/>
    <mergeCell ref="DQ28:DR28"/>
    <mergeCell ref="DS28:DT28"/>
    <mergeCell ref="DU28:DV28"/>
    <mergeCell ref="DW28:DX28"/>
    <mergeCell ref="DY28:EC28"/>
    <mergeCell ref="ED28:EF28"/>
    <mergeCell ref="DQ25:DR25"/>
    <mergeCell ref="DS25:DT25"/>
    <mergeCell ref="DU25:DV25"/>
    <mergeCell ref="DW25:DX25"/>
    <mergeCell ref="DY25:EC25"/>
    <mergeCell ref="ED25:EF25"/>
    <mergeCell ref="DQ26:DR26"/>
    <mergeCell ref="DS26:DT26"/>
    <mergeCell ref="DU26:DV26"/>
    <mergeCell ref="DW26:DX26"/>
    <mergeCell ref="DY26:EC26"/>
    <mergeCell ref="ED26:EF26"/>
    <mergeCell ref="DQ23:DR23"/>
    <mergeCell ref="DS23:DT23"/>
    <mergeCell ref="DU23:DV23"/>
    <mergeCell ref="DW23:DX23"/>
    <mergeCell ref="DY23:EC23"/>
    <mergeCell ref="ED23:EF23"/>
    <mergeCell ref="DQ24:DR24"/>
    <mergeCell ref="DS24:DT24"/>
    <mergeCell ref="DU24:DV24"/>
    <mergeCell ref="DW24:DX24"/>
    <mergeCell ref="DY24:EC24"/>
    <mergeCell ref="ED24:EF24"/>
    <mergeCell ref="DW21:DX21"/>
    <mergeCell ref="DY21:EC21"/>
    <mergeCell ref="ED21:EF21"/>
    <mergeCell ref="DQ22:DR22"/>
    <mergeCell ref="DS22:DT22"/>
    <mergeCell ref="DU22:DV22"/>
    <mergeCell ref="DW22:DX22"/>
    <mergeCell ref="DY22:EC22"/>
    <mergeCell ref="ED22:EF22"/>
    <mergeCell ref="DQ19:DR19"/>
    <mergeCell ref="DS19:DT19"/>
    <mergeCell ref="DU19:DV19"/>
    <mergeCell ref="DW19:DX19"/>
    <mergeCell ref="DY19:EC19"/>
    <mergeCell ref="ED19:EF19"/>
    <mergeCell ref="DQ20:DR20"/>
    <mergeCell ref="DS20:DT20"/>
    <mergeCell ref="DU20:DV20"/>
    <mergeCell ref="DW20:DX20"/>
    <mergeCell ref="DY20:EC20"/>
    <mergeCell ref="ED20:EF20"/>
    <mergeCell ref="DW17:DX17"/>
    <mergeCell ref="DY17:EC17"/>
    <mergeCell ref="ED17:EF17"/>
    <mergeCell ref="DQ18:DR18"/>
    <mergeCell ref="DS18:DT18"/>
    <mergeCell ref="DU18:DV18"/>
    <mergeCell ref="DW18:DX18"/>
    <mergeCell ref="DY18:EC18"/>
    <mergeCell ref="ED18:EF18"/>
    <mergeCell ref="DW15:DX15"/>
    <mergeCell ref="DY15:EC15"/>
    <mergeCell ref="ED15:EF15"/>
    <mergeCell ref="DQ16:DR16"/>
    <mergeCell ref="DS16:DT16"/>
    <mergeCell ref="DU16:DV16"/>
    <mergeCell ref="DW16:DX16"/>
    <mergeCell ref="DY16:EC16"/>
    <mergeCell ref="ED16:EF16"/>
    <mergeCell ref="DU15:DV15"/>
    <mergeCell ref="DW7:DX7"/>
    <mergeCell ref="DY7:EC7"/>
    <mergeCell ref="ED7:EF7"/>
    <mergeCell ref="DQ8:DR8"/>
    <mergeCell ref="DS8:DT8"/>
    <mergeCell ref="DU8:DV8"/>
    <mergeCell ref="DW8:DX8"/>
    <mergeCell ref="DY8:EC8"/>
    <mergeCell ref="ED8:EF8"/>
    <mergeCell ref="DW13:DX13"/>
    <mergeCell ref="DY13:EC13"/>
    <mergeCell ref="ED13:EF13"/>
    <mergeCell ref="DQ14:DR14"/>
    <mergeCell ref="DS14:DT14"/>
    <mergeCell ref="DU14:DV14"/>
    <mergeCell ref="DW14:DX14"/>
    <mergeCell ref="DY14:EC14"/>
    <mergeCell ref="ED14:EF14"/>
    <mergeCell ref="DW11:DX11"/>
    <mergeCell ref="DY11:EC11"/>
    <mergeCell ref="ED11:EF11"/>
    <mergeCell ref="DQ12:DR12"/>
    <mergeCell ref="DS12:DT12"/>
    <mergeCell ref="DU12:DV12"/>
    <mergeCell ref="DW12:DX12"/>
    <mergeCell ref="DY12:EC12"/>
    <mergeCell ref="ED12:EF12"/>
    <mergeCell ref="CO53:CP53"/>
    <mergeCell ref="CQ53:CR53"/>
    <mergeCell ref="CS53:CT53"/>
    <mergeCell ref="CU53:CV53"/>
    <mergeCell ref="CW53:DA53"/>
    <mergeCell ref="DB53:DD53"/>
    <mergeCell ref="DQ5:DR5"/>
    <mergeCell ref="DS5:DT5"/>
    <mergeCell ref="DU5:DV5"/>
    <mergeCell ref="DQ7:DR7"/>
    <mergeCell ref="DS7:DT7"/>
    <mergeCell ref="DU7:DV7"/>
    <mergeCell ref="DQ9:DR9"/>
    <mergeCell ref="DS9:DT9"/>
    <mergeCell ref="DU9:DV9"/>
    <mergeCell ref="DQ11:DR11"/>
    <mergeCell ref="DS11:DT11"/>
    <mergeCell ref="DU11:DV11"/>
    <mergeCell ref="DQ13:DR13"/>
    <mergeCell ref="DS13:DT13"/>
    <mergeCell ref="DU13:DV13"/>
    <mergeCell ref="DQ15:DR15"/>
    <mergeCell ref="DS15:DT15"/>
    <mergeCell ref="DQ10:DR10"/>
    <mergeCell ref="DS10:DT10"/>
    <mergeCell ref="DU10:DV10"/>
    <mergeCell ref="DQ17:DR17"/>
    <mergeCell ref="DS17:DT17"/>
    <mergeCell ref="DU17:DV17"/>
    <mergeCell ref="DQ21:DR21"/>
    <mergeCell ref="DS21:DT21"/>
    <mergeCell ref="DU21:DV21"/>
    <mergeCell ref="CO51:CP51"/>
    <mergeCell ref="CQ51:CR51"/>
    <mergeCell ref="CS51:CT51"/>
    <mergeCell ref="CU51:CV51"/>
    <mergeCell ref="CW51:DA51"/>
    <mergeCell ref="DB51:DD51"/>
    <mergeCell ref="CO52:CP52"/>
    <mergeCell ref="CQ52:CR52"/>
    <mergeCell ref="CS52:CT52"/>
    <mergeCell ref="CU52:CV52"/>
    <mergeCell ref="CW52:DA52"/>
    <mergeCell ref="DB52:DD52"/>
    <mergeCell ref="CO49:CP49"/>
    <mergeCell ref="CQ49:CR49"/>
    <mergeCell ref="CS49:CT49"/>
    <mergeCell ref="CU49:CV49"/>
    <mergeCell ref="CW49:DA49"/>
    <mergeCell ref="DB49:DD49"/>
    <mergeCell ref="CO50:CP50"/>
    <mergeCell ref="CQ50:CR50"/>
    <mergeCell ref="CS50:CT50"/>
    <mergeCell ref="CU50:CV50"/>
    <mergeCell ref="CW50:DA50"/>
    <mergeCell ref="DB50:DD50"/>
    <mergeCell ref="CO47:CP47"/>
    <mergeCell ref="CQ47:CR47"/>
    <mergeCell ref="CS47:CT47"/>
    <mergeCell ref="CU47:CV47"/>
    <mergeCell ref="CW47:DA47"/>
    <mergeCell ref="DB47:DD47"/>
    <mergeCell ref="CO48:CP48"/>
    <mergeCell ref="CQ48:CR48"/>
    <mergeCell ref="CS48:CT48"/>
    <mergeCell ref="CU48:CV48"/>
    <mergeCell ref="CW48:DA48"/>
    <mergeCell ref="DB48:DD48"/>
    <mergeCell ref="CO45:CP45"/>
    <mergeCell ref="CQ45:CR45"/>
    <mergeCell ref="CS45:CT45"/>
    <mergeCell ref="CU45:CV45"/>
    <mergeCell ref="CW45:DA45"/>
    <mergeCell ref="DB45:DD45"/>
    <mergeCell ref="CO46:CP46"/>
    <mergeCell ref="CQ46:CR46"/>
    <mergeCell ref="CS46:CT46"/>
    <mergeCell ref="CU46:CV46"/>
    <mergeCell ref="CW46:DA46"/>
    <mergeCell ref="DB46:DD46"/>
    <mergeCell ref="CO43:CP43"/>
    <mergeCell ref="CQ43:CR43"/>
    <mergeCell ref="CS43:CT43"/>
    <mergeCell ref="CU43:CV43"/>
    <mergeCell ref="CW43:DA43"/>
    <mergeCell ref="DB43:DD43"/>
    <mergeCell ref="CO44:CP44"/>
    <mergeCell ref="CQ44:CR44"/>
    <mergeCell ref="CS44:CT44"/>
    <mergeCell ref="CU44:CV44"/>
    <mergeCell ref="CW44:DA44"/>
    <mergeCell ref="DB44:DD44"/>
    <mergeCell ref="CO41:CP41"/>
    <mergeCell ref="CQ41:CR41"/>
    <mergeCell ref="CS41:CT41"/>
    <mergeCell ref="CU41:CV41"/>
    <mergeCell ref="CW41:DA41"/>
    <mergeCell ref="DB41:DD41"/>
    <mergeCell ref="CO42:CP42"/>
    <mergeCell ref="CQ42:CR42"/>
    <mergeCell ref="CS42:CT42"/>
    <mergeCell ref="CU42:CV42"/>
    <mergeCell ref="CW42:DA42"/>
    <mergeCell ref="DB42:DD42"/>
    <mergeCell ref="CO39:CP39"/>
    <mergeCell ref="CQ39:CR39"/>
    <mergeCell ref="CS39:CT39"/>
    <mergeCell ref="CU39:CV39"/>
    <mergeCell ref="CW39:DA39"/>
    <mergeCell ref="DB39:DD39"/>
    <mergeCell ref="CO40:CP40"/>
    <mergeCell ref="CQ40:CR40"/>
    <mergeCell ref="CS40:CT40"/>
    <mergeCell ref="CU40:CV40"/>
    <mergeCell ref="CW40:DA40"/>
    <mergeCell ref="DB40:DD40"/>
    <mergeCell ref="CO37:CP37"/>
    <mergeCell ref="CQ37:CR37"/>
    <mergeCell ref="CS37:CT37"/>
    <mergeCell ref="CU37:CV37"/>
    <mergeCell ref="CW37:DA37"/>
    <mergeCell ref="DB37:DD37"/>
    <mergeCell ref="CO38:CP38"/>
    <mergeCell ref="CQ38:CR38"/>
    <mergeCell ref="CS38:CT38"/>
    <mergeCell ref="CU38:CV38"/>
    <mergeCell ref="CW38:DA38"/>
    <mergeCell ref="DB38:DD38"/>
    <mergeCell ref="CO35:CP35"/>
    <mergeCell ref="CQ35:CR35"/>
    <mergeCell ref="CS35:CT35"/>
    <mergeCell ref="CU35:CV35"/>
    <mergeCell ref="CW35:DA35"/>
    <mergeCell ref="DB35:DD35"/>
    <mergeCell ref="CO36:CP36"/>
    <mergeCell ref="CQ36:CR36"/>
    <mergeCell ref="CS36:CT36"/>
    <mergeCell ref="CU36:CV36"/>
    <mergeCell ref="CW36:DA36"/>
    <mergeCell ref="DB36:DD36"/>
    <mergeCell ref="CO33:CP33"/>
    <mergeCell ref="CQ33:CR33"/>
    <mergeCell ref="CS33:CT33"/>
    <mergeCell ref="CU33:CV33"/>
    <mergeCell ref="CW33:DA33"/>
    <mergeCell ref="DB33:DD33"/>
    <mergeCell ref="CO34:CP34"/>
    <mergeCell ref="CQ34:CR34"/>
    <mergeCell ref="CS34:CT34"/>
    <mergeCell ref="CU34:CV34"/>
    <mergeCell ref="CW34:DA34"/>
    <mergeCell ref="DB34:DD34"/>
    <mergeCell ref="CO31:CP31"/>
    <mergeCell ref="CQ31:CR31"/>
    <mergeCell ref="CS31:CT31"/>
    <mergeCell ref="CU31:CV31"/>
    <mergeCell ref="CW31:DA31"/>
    <mergeCell ref="DB31:DD31"/>
    <mergeCell ref="CO32:CP32"/>
    <mergeCell ref="CQ32:CR32"/>
    <mergeCell ref="CS32:CT32"/>
    <mergeCell ref="CU32:CV32"/>
    <mergeCell ref="CW32:DA32"/>
    <mergeCell ref="DB32:DD32"/>
    <mergeCell ref="CO29:CP29"/>
    <mergeCell ref="CQ29:CR29"/>
    <mergeCell ref="CS29:CT29"/>
    <mergeCell ref="CU29:CV29"/>
    <mergeCell ref="CW29:DA29"/>
    <mergeCell ref="DB29:DD29"/>
    <mergeCell ref="CO30:CP30"/>
    <mergeCell ref="CQ30:CR30"/>
    <mergeCell ref="CS30:CT30"/>
    <mergeCell ref="CU30:CV30"/>
    <mergeCell ref="CW30:DA30"/>
    <mergeCell ref="DB30:DD30"/>
    <mergeCell ref="CO27:CP27"/>
    <mergeCell ref="CQ27:CR27"/>
    <mergeCell ref="CS27:CT27"/>
    <mergeCell ref="CU27:CV27"/>
    <mergeCell ref="CW27:DA27"/>
    <mergeCell ref="DB27:DD27"/>
    <mergeCell ref="CO28:CP28"/>
    <mergeCell ref="CQ28:CR28"/>
    <mergeCell ref="CS28:CT28"/>
    <mergeCell ref="CU28:CV28"/>
    <mergeCell ref="CW28:DA28"/>
    <mergeCell ref="DB28:DD28"/>
    <mergeCell ref="CO25:CP25"/>
    <mergeCell ref="CQ25:CR25"/>
    <mergeCell ref="CS25:CT25"/>
    <mergeCell ref="CU25:CV25"/>
    <mergeCell ref="CW25:DA25"/>
    <mergeCell ref="DB25:DD25"/>
    <mergeCell ref="CO26:CP26"/>
    <mergeCell ref="CQ26:CR26"/>
    <mergeCell ref="CS26:CT26"/>
    <mergeCell ref="CU26:CV26"/>
    <mergeCell ref="CW26:DA26"/>
    <mergeCell ref="DB26:DD26"/>
    <mergeCell ref="CS23:CT23"/>
    <mergeCell ref="CU23:CV23"/>
    <mergeCell ref="CW23:DA23"/>
    <mergeCell ref="DB23:DD23"/>
    <mergeCell ref="CO24:CP24"/>
    <mergeCell ref="CQ24:CR24"/>
    <mergeCell ref="CS24:CT24"/>
    <mergeCell ref="CU24:CV24"/>
    <mergeCell ref="CW24:DA24"/>
    <mergeCell ref="DB24:DD24"/>
    <mergeCell ref="CO21:CP21"/>
    <mergeCell ref="CQ21:CR21"/>
    <mergeCell ref="CS21:CT21"/>
    <mergeCell ref="CU21:CV21"/>
    <mergeCell ref="CW21:DA21"/>
    <mergeCell ref="DB21:DD21"/>
    <mergeCell ref="CO22:CP22"/>
    <mergeCell ref="CQ22:CR22"/>
    <mergeCell ref="CS22:CT22"/>
    <mergeCell ref="CU22:CV22"/>
    <mergeCell ref="CW22:DA22"/>
    <mergeCell ref="DB22:DD22"/>
    <mergeCell ref="CO19:CP19"/>
    <mergeCell ref="CQ19:CR19"/>
    <mergeCell ref="CS19:CT19"/>
    <mergeCell ref="CU19:CV19"/>
    <mergeCell ref="CW19:DA19"/>
    <mergeCell ref="DB19:DD19"/>
    <mergeCell ref="CO20:CP20"/>
    <mergeCell ref="CQ20:CR20"/>
    <mergeCell ref="CS20:CT20"/>
    <mergeCell ref="CU20:CV20"/>
    <mergeCell ref="CW20:DA20"/>
    <mergeCell ref="DB20:DD20"/>
    <mergeCell ref="CO17:CP17"/>
    <mergeCell ref="CQ17:CR17"/>
    <mergeCell ref="CS17:CT17"/>
    <mergeCell ref="CU17:CV17"/>
    <mergeCell ref="CW17:DA17"/>
    <mergeCell ref="DB17:DD17"/>
    <mergeCell ref="CO18:CP18"/>
    <mergeCell ref="CQ18:CR18"/>
    <mergeCell ref="CS18:CT18"/>
    <mergeCell ref="CU18:CV18"/>
    <mergeCell ref="CW18:DA18"/>
    <mergeCell ref="DB18:DD18"/>
    <mergeCell ref="CU15:CV15"/>
    <mergeCell ref="CW15:DA15"/>
    <mergeCell ref="DB15:DD15"/>
    <mergeCell ref="CO16:CP16"/>
    <mergeCell ref="CQ16:CR16"/>
    <mergeCell ref="CS16:CT16"/>
    <mergeCell ref="CU16:CV16"/>
    <mergeCell ref="CW16:DA16"/>
    <mergeCell ref="DB16:DD16"/>
    <mergeCell ref="CU13:CV13"/>
    <mergeCell ref="CW13:DA13"/>
    <mergeCell ref="DB13:DD13"/>
    <mergeCell ref="CO14:CP14"/>
    <mergeCell ref="CQ14:CR14"/>
    <mergeCell ref="CS14:CT14"/>
    <mergeCell ref="CU14:CV14"/>
    <mergeCell ref="CW14:DA14"/>
    <mergeCell ref="DB14:DD14"/>
    <mergeCell ref="CU11:CV11"/>
    <mergeCell ref="CW11:DA11"/>
    <mergeCell ref="DB11:DD11"/>
    <mergeCell ref="CO12:CP12"/>
    <mergeCell ref="CQ12:CR12"/>
    <mergeCell ref="CS12:CT12"/>
    <mergeCell ref="CU12:CV12"/>
    <mergeCell ref="CW12:DA12"/>
    <mergeCell ref="DB12:DD12"/>
    <mergeCell ref="CU9:CV9"/>
    <mergeCell ref="CW9:DA9"/>
    <mergeCell ref="DB9:DD9"/>
    <mergeCell ref="CO10:CP10"/>
    <mergeCell ref="CQ10:CR10"/>
    <mergeCell ref="CS10:CT10"/>
    <mergeCell ref="CU10:CV10"/>
    <mergeCell ref="CW10:DA10"/>
    <mergeCell ref="DB10:DD10"/>
    <mergeCell ref="CU7:CV7"/>
    <mergeCell ref="CW7:DA7"/>
    <mergeCell ref="DB7:DD7"/>
    <mergeCell ref="CO8:CP8"/>
    <mergeCell ref="CQ8:CR8"/>
    <mergeCell ref="CS8:CT8"/>
    <mergeCell ref="CU8:CV8"/>
    <mergeCell ref="CW8:DA8"/>
    <mergeCell ref="DB8:DD8"/>
    <mergeCell ref="CU5:CV5"/>
    <mergeCell ref="CW5:DA5"/>
    <mergeCell ref="DB5:DD5"/>
    <mergeCell ref="CO6:CP6"/>
    <mergeCell ref="CQ6:CR6"/>
    <mergeCell ref="CS6:CT6"/>
    <mergeCell ref="CU6:CV6"/>
    <mergeCell ref="CW6:DA6"/>
    <mergeCell ref="DB6:DD6"/>
    <mergeCell ref="BL53:BM53"/>
    <mergeCell ref="BN53:BO53"/>
    <mergeCell ref="BP53:BQ53"/>
    <mergeCell ref="BR53:BS53"/>
    <mergeCell ref="BT53:BX53"/>
    <mergeCell ref="BY53:CA53"/>
    <mergeCell ref="CO5:CP5"/>
    <mergeCell ref="CQ5:CR5"/>
    <mergeCell ref="CS5:CT5"/>
    <mergeCell ref="CO7:CP7"/>
    <mergeCell ref="CQ7:CR7"/>
    <mergeCell ref="CS7:CT7"/>
    <mergeCell ref="CO9:CP9"/>
    <mergeCell ref="CQ9:CR9"/>
    <mergeCell ref="CS9:CT9"/>
    <mergeCell ref="CO11:CP11"/>
    <mergeCell ref="CQ11:CR11"/>
    <mergeCell ref="CS11:CT11"/>
    <mergeCell ref="CO13:CP13"/>
    <mergeCell ref="CQ13:CR13"/>
    <mergeCell ref="CS13:CT13"/>
    <mergeCell ref="CO15:CP15"/>
    <mergeCell ref="CQ15:CR15"/>
    <mergeCell ref="CS15:CT15"/>
    <mergeCell ref="BL51:BM51"/>
    <mergeCell ref="BN51:BO51"/>
    <mergeCell ref="BP51:BQ51"/>
    <mergeCell ref="BR51:BS51"/>
    <mergeCell ref="BT51:BX51"/>
    <mergeCell ref="BY51:CA51"/>
    <mergeCell ref="BL52:BM52"/>
    <mergeCell ref="BN52:BO52"/>
    <mergeCell ref="BP52:BQ52"/>
    <mergeCell ref="BR52:BS52"/>
    <mergeCell ref="BT52:BX52"/>
    <mergeCell ref="BY52:CA52"/>
    <mergeCell ref="BL49:BM49"/>
    <mergeCell ref="BN49:BO49"/>
    <mergeCell ref="BP49:BQ49"/>
    <mergeCell ref="BR49:BS49"/>
    <mergeCell ref="BT49:BX49"/>
    <mergeCell ref="BY49:CA49"/>
    <mergeCell ref="BL50:BM50"/>
    <mergeCell ref="BN50:BO50"/>
    <mergeCell ref="BP50:BQ50"/>
    <mergeCell ref="BR50:BS50"/>
    <mergeCell ref="BT50:BX50"/>
    <mergeCell ref="BY50:CA50"/>
    <mergeCell ref="BL47:BM47"/>
    <mergeCell ref="BN47:BO47"/>
    <mergeCell ref="BP47:BQ47"/>
    <mergeCell ref="BR47:BS47"/>
    <mergeCell ref="BT47:BX47"/>
    <mergeCell ref="BY47:CA47"/>
    <mergeCell ref="BL48:BM48"/>
    <mergeCell ref="BN48:BO48"/>
    <mergeCell ref="BP48:BQ48"/>
    <mergeCell ref="BR48:BS48"/>
    <mergeCell ref="BT48:BX48"/>
    <mergeCell ref="BY48:CA48"/>
    <mergeCell ref="BL46:BM46"/>
    <mergeCell ref="BN46:BO46"/>
    <mergeCell ref="BP46:BQ46"/>
    <mergeCell ref="BR46:BS46"/>
    <mergeCell ref="BT46:BX46"/>
    <mergeCell ref="BY46:CA46"/>
    <mergeCell ref="BL43:BM43"/>
    <mergeCell ref="BN43:BO43"/>
    <mergeCell ref="BP43:BQ43"/>
    <mergeCell ref="BR43:BS43"/>
    <mergeCell ref="BT43:BX43"/>
    <mergeCell ref="BY43:CA43"/>
    <mergeCell ref="BL44:BM44"/>
    <mergeCell ref="BN44:BO44"/>
    <mergeCell ref="BP44:BQ44"/>
    <mergeCell ref="BR44:BS44"/>
    <mergeCell ref="BT44:BX44"/>
    <mergeCell ref="BY44:CA44"/>
    <mergeCell ref="BR42:BS42"/>
    <mergeCell ref="BT42:BX42"/>
    <mergeCell ref="BY42:CA42"/>
    <mergeCell ref="BL39:BM39"/>
    <mergeCell ref="BN39:BO39"/>
    <mergeCell ref="BP39:BQ39"/>
    <mergeCell ref="BR39:BS39"/>
    <mergeCell ref="BT39:BX39"/>
    <mergeCell ref="BY39:CA39"/>
    <mergeCell ref="BL40:BM40"/>
    <mergeCell ref="BN40:BO40"/>
    <mergeCell ref="BP40:BQ40"/>
    <mergeCell ref="BR40:BS40"/>
    <mergeCell ref="BT40:BX40"/>
    <mergeCell ref="BY40:CA40"/>
    <mergeCell ref="BL45:BM45"/>
    <mergeCell ref="BN45:BO45"/>
    <mergeCell ref="BP45:BQ45"/>
    <mergeCell ref="BR45:BS45"/>
    <mergeCell ref="BT45:BX45"/>
    <mergeCell ref="BY45:CA45"/>
    <mergeCell ref="BL42:BM42"/>
    <mergeCell ref="BN42:BO42"/>
    <mergeCell ref="BP42:BQ42"/>
    <mergeCell ref="BL35:BM35"/>
    <mergeCell ref="BN35:BO35"/>
    <mergeCell ref="BP35:BQ35"/>
    <mergeCell ref="BR35:BS35"/>
    <mergeCell ref="BT35:BX35"/>
    <mergeCell ref="BY35:CA35"/>
    <mergeCell ref="BL36:BM36"/>
    <mergeCell ref="BN36:BO36"/>
    <mergeCell ref="BP36:BQ36"/>
    <mergeCell ref="BR36:BS36"/>
    <mergeCell ref="BT36:BX36"/>
    <mergeCell ref="BY36:CA36"/>
    <mergeCell ref="BL41:BM41"/>
    <mergeCell ref="BN41:BO41"/>
    <mergeCell ref="BP41:BQ41"/>
    <mergeCell ref="BR41:BS41"/>
    <mergeCell ref="BT41:BX41"/>
    <mergeCell ref="BY41:CA41"/>
    <mergeCell ref="BN37:BO37"/>
    <mergeCell ref="BP37:BQ37"/>
    <mergeCell ref="BR37:BS37"/>
    <mergeCell ref="BT37:BX37"/>
    <mergeCell ref="BY37:CA37"/>
    <mergeCell ref="BL38:BM38"/>
    <mergeCell ref="BN38:BO38"/>
    <mergeCell ref="BP38:BQ38"/>
    <mergeCell ref="BR38:BS38"/>
    <mergeCell ref="BT38:BX38"/>
    <mergeCell ref="BY38:CA38"/>
    <mergeCell ref="BT28:BX28"/>
    <mergeCell ref="BY28:CA28"/>
    <mergeCell ref="BL33:BM33"/>
    <mergeCell ref="BN33:BO33"/>
    <mergeCell ref="BP33:BQ33"/>
    <mergeCell ref="BR33:BS33"/>
    <mergeCell ref="BT33:BX33"/>
    <mergeCell ref="BY33:CA33"/>
    <mergeCell ref="BL34:BM34"/>
    <mergeCell ref="BN34:BO34"/>
    <mergeCell ref="BP34:BQ34"/>
    <mergeCell ref="BR34:BS34"/>
    <mergeCell ref="BT34:BX34"/>
    <mergeCell ref="BY34:CA34"/>
    <mergeCell ref="BL31:BM31"/>
    <mergeCell ref="BN31:BO31"/>
    <mergeCell ref="BP31:BQ31"/>
    <mergeCell ref="BR31:BS31"/>
    <mergeCell ref="BT31:BX31"/>
    <mergeCell ref="BY31:CA31"/>
    <mergeCell ref="BL32:BM32"/>
    <mergeCell ref="BN32:BO32"/>
    <mergeCell ref="BP32:BQ32"/>
    <mergeCell ref="BR32:BS32"/>
    <mergeCell ref="BT32:BX32"/>
    <mergeCell ref="BY32:CA32"/>
    <mergeCell ref="BP23:BQ23"/>
    <mergeCell ref="BR23:BS23"/>
    <mergeCell ref="BT23:BX23"/>
    <mergeCell ref="BY23:CA23"/>
    <mergeCell ref="BL24:BM24"/>
    <mergeCell ref="BN24:BO24"/>
    <mergeCell ref="BP24:BQ24"/>
    <mergeCell ref="BR24:BS24"/>
    <mergeCell ref="BT24:BX24"/>
    <mergeCell ref="BY24:CA24"/>
    <mergeCell ref="BL29:BM29"/>
    <mergeCell ref="BN29:BO29"/>
    <mergeCell ref="BP29:BQ29"/>
    <mergeCell ref="BR29:BS29"/>
    <mergeCell ref="BT29:BX29"/>
    <mergeCell ref="BY29:CA29"/>
    <mergeCell ref="BL30:BM30"/>
    <mergeCell ref="BN30:BO30"/>
    <mergeCell ref="BP30:BQ30"/>
    <mergeCell ref="BR30:BS30"/>
    <mergeCell ref="BT30:BX30"/>
    <mergeCell ref="BY30:CA30"/>
    <mergeCell ref="BL27:BM27"/>
    <mergeCell ref="BN27:BO27"/>
    <mergeCell ref="BP27:BQ27"/>
    <mergeCell ref="BR27:BS27"/>
    <mergeCell ref="BT27:BX27"/>
    <mergeCell ref="BY27:CA27"/>
    <mergeCell ref="BL28:BM28"/>
    <mergeCell ref="BN28:BO28"/>
    <mergeCell ref="BP28:BQ28"/>
    <mergeCell ref="BR28:BS28"/>
    <mergeCell ref="BL16:BM16"/>
    <mergeCell ref="BN16:BO16"/>
    <mergeCell ref="BP16:BQ16"/>
    <mergeCell ref="BR16:BS16"/>
    <mergeCell ref="BT16:BX16"/>
    <mergeCell ref="BY16:CA16"/>
    <mergeCell ref="BP15:BQ15"/>
    <mergeCell ref="BR21:BS21"/>
    <mergeCell ref="BT21:BX21"/>
    <mergeCell ref="BY21:CA21"/>
    <mergeCell ref="BL22:BM22"/>
    <mergeCell ref="BN22:BO22"/>
    <mergeCell ref="BP22:BQ22"/>
    <mergeCell ref="BR22:BS22"/>
    <mergeCell ref="BT22:BX22"/>
    <mergeCell ref="BY22:CA22"/>
    <mergeCell ref="BL19:BM19"/>
    <mergeCell ref="BN19:BO19"/>
    <mergeCell ref="BP19:BQ19"/>
    <mergeCell ref="BR19:BS19"/>
    <mergeCell ref="BT19:BX19"/>
    <mergeCell ref="BY19:CA19"/>
    <mergeCell ref="BL20:BM20"/>
    <mergeCell ref="BN20:BO20"/>
    <mergeCell ref="BP20:BQ20"/>
    <mergeCell ref="BR20:BS20"/>
    <mergeCell ref="BT20:BX20"/>
    <mergeCell ref="BY20:CA20"/>
    <mergeCell ref="BP8:BQ8"/>
    <mergeCell ref="BR8:BS8"/>
    <mergeCell ref="BT8:BX8"/>
    <mergeCell ref="BY8:CA8"/>
    <mergeCell ref="BR13:BS13"/>
    <mergeCell ref="BT13:BX13"/>
    <mergeCell ref="BY13:CA13"/>
    <mergeCell ref="BL14:BM14"/>
    <mergeCell ref="BN14:BO14"/>
    <mergeCell ref="BP14:BQ14"/>
    <mergeCell ref="BR14:BS14"/>
    <mergeCell ref="BT14:BX14"/>
    <mergeCell ref="BY14:CA14"/>
    <mergeCell ref="BR11:BS11"/>
    <mergeCell ref="BT11:BX11"/>
    <mergeCell ref="BY11:CA11"/>
    <mergeCell ref="BL12:BM12"/>
    <mergeCell ref="BN12:BO12"/>
    <mergeCell ref="BP12:BQ12"/>
    <mergeCell ref="BR12:BS12"/>
    <mergeCell ref="BT12:BX12"/>
    <mergeCell ref="BY12:CA12"/>
    <mergeCell ref="AJ67:AK67"/>
    <mergeCell ref="AL67:AM67"/>
    <mergeCell ref="AN67:AO67"/>
    <mergeCell ref="AP67:AQ67"/>
    <mergeCell ref="AR67:AV67"/>
    <mergeCell ref="AW67:AY67"/>
    <mergeCell ref="BL5:BM5"/>
    <mergeCell ref="BN5:BO5"/>
    <mergeCell ref="BP5:BQ5"/>
    <mergeCell ref="BL7:BM7"/>
    <mergeCell ref="BN7:BO7"/>
    <mergeCell ref="BP7:BQ7"/>
    <mergeCell ref="BL9:BM9"/>
    <mergeCell ref="BN9:BO9"/>
    <mergeCell ref="BP9:BQ9"/>
    <mergeCell ref="BL11:BM11"/>
    <mergeCell ref="BN11:BO11"/>
    <mergeCell ref="BP11:BQ11"/>
    <mergeCell ref="BL13:BM13"/>
    <mergeCell ref="BN13:BO13"/>
    <mergeCell ref="BP13:BQ13"/>
    <mergeCell ref="BL15:BM15"/>
    <mergeCell ref="BN15:BO15"/>
    <mergeCell ref="BL10:BM10"/>
    <mergeCell ref="BN10:BO10"/>
    <mergeCell ref="BP10:BQ10"/>
    <mergeCell ref="BL17:BM17"/>
    <mergeCell ref="BN17:BO17"/>
    <mergeCell ref="BP17:BQ17"/>
    <mergeCell ref="BL21:BM21"/>
    <mergeCell ref="BN21:BO21"/>
    <mergeCell ref="BP21:BQ21"/>
    <mergeCell ref="AJ65:AK65"/>
    <mergeCell ref="AL65:AM65"/>
    <mergeCell ref="AN65:AO65"/>
    <mergeCell ref="AP65:AQ65"/>
    <mergeCell ref="AR65:AV65"/>
    <mergeCell ref="AW65:AY65"/>
    <mergeCell ref="AJ66:AK66"/>
    <mergeCell ref="AL66:AM66"/>
    <mergeCell ref="AN66:AO66"/>
    <mergeCell ref="AP66:AQ66"/>
    <mergeCell ref="AR66:AV66"/>
    <mergeCell ref="AW66:AY66"/>
    <mergeCell ref="AJ63:AK63"/>
    <mergeCell ref="AL63:AM63"/>
    <mergeCell ref="AN63:AO63"/>
    <mergeCell ref="AP63:AQ63"/>
    <mergeCell ref="AR63:AV63"/>
    <mergeCell ref="AW63:AY63"/>
    <mergeCell ref="AJ64:AK64"/>
    <mergeCell ref="AL64:AM64"/>
    <mergeCell ref="AN64:AO64"/>
    <mergeCell ref="AP64:AQ64"/>
    <mergeCell ref="AR64:AV64"/>
    <mergeCell ref="AW64:AY64"/>
    <mergeCell ref="AJ61:AK61"/>
    <mergeCell ref="AL61:AM61"/>
    <mergeCell ref="AN61:AO61"/>
    <mergeCell ref="AP61:AQ61"/>
    <mergeCell ref="AR61:AV61"/>
    <mergeCell ref="AW61:AY61"/>
    <mergeCell ref="AJ62:AK62"/>
    <mergeCell ref="AL62:AM62"/>
    <mergeCell ref="AN62:AO62"/>
    <mergeCell ref="AP62:AQ62"/>
    <mergeCell ref="AR62:AV62"/>
    <mergeCell ref="AW62:AY62"/>
    <mergeCell ref="AJ59:AK59"/>
    <mergeCell ref="AL59:AM59"/>
    <mergeCell ref="AN59:AO59"/>
    <mergeCell ref="AP59:AQ59"/>
    <mergeCell ref="AR59:AV59"/>
    <mergeCell ref="AW59:AY59"/>
    <mergeCell ref="AJ60:AK60"/>
    <mergeCell ref="AL60:AM60"/>
    <mergeCell ref="AN60:AO60"/>
    <mergeCell ref="AP60:AQ60"/>
    <mergeCell ref="AR60:AV60"/>
    <mergeCell ref="AW60:AY60"/>
    <mergeCell ref="AJ57:AK57"/>
    <mergeCell ref="AL57:AM57"/>
    <mergeCell ref="AN57:AO57"/>
    <mergeCell ref="AP57:AQ57"/>
    <mergeCell ref="AR57:AV57"/>
    <mergeCell ref="AW57:AY57"/>
    <mergeCell ref="AJ58:AK58"/>
    <mergeCell ref="AL58:AM58"/>
    <mergeCell ref="AN58:AO58"/>
    <mergeCell ref="AP58:AQ58"/>
    <mergeCell ref="AR58:AV58"/>
    <mergeCell ref="AW58:AY58"/>
    <mergeCell ref="AJ55:AK55"/>
    <mergeCell ref="AL55:AM55"/>
    <mergeCell ref="AN55:AO55"/>
    <mergeCell ref="AP55:AQ55"/>
    <mergeCell ref="AR55:AV55"/>
    <mergeCell ref="AW55:AY55"/>
    <mergeCell ref="AJ56:AK56"/>
    <mergeCell ref="AL56:AM56"/>
    <mergeCell ref="AN56:AO56"/>
    <mergeCell ref="AP56:AQ56"/>
    <mergeCell ref="AR56:AV56"/>
    <mergeCell ref="AW56:AY56"/>
    <mergeCell ref="AJ53:AK53"/>
    <mergeCell ref="AL53:AM53"/>
    <mergeCell ref="AN53:AO53"/>
    <mergeCell ref="AP53:AQ53"/>
    <mergeCell ref="AR53:AV53"/>
    <mergeCell ref="AW53:AY53"/>
    <mergeCell ref="AJ54:AK54"/>
    <mergeCell ref="AL54:AM54"/>
    <mergeCell ref="AN54:AO54"/>
    <mergeCell ref="AP54:AQ54"/>
    <mergeCell ref="AR54:AV54"/>
    <mergeCell ref="AW54:AY54"/>
    <mergeCell ref="AJ51:AK51"/>
    <mergeCell ref="AL51:AM51"/>
    <mergeCell ref="AN51:AO51"/>
    <mergeCell ref="AP51:AQ51"/>
    <mergeCell ref="AR51:AV51"/>
    <mergeCell ref="AW51:AY51"/>
    <mergeCell ref="AJ52:AK52"/>
    <mergeCell ref="AL52:AM52"/>
    <mergeCell ref="AN52:AO52"/>
    <mergeCell ref="AP52:AQ52"/>
    <mergeCell ref="AR52:AV52"/>
    <mergeCell ref="AW52:AY52"/>
    <mergeCell ref="AL49:AM49"/>
    <mergeCell ref="AN49:AO49"/>
    <mergeCell ref="AP49:AQ49"/>
    <mergeCell ref="AR49:AV49"/>
    <mergeCell ref="AW49:AY49"/>
    <mergeCell ref="AJ50:AK50"/>
    <mergeCell ref="AL50:AM50"/>
    <mergeCell ref="AN50:AO50"/>
    <mergeCell ref="AP50:AQ50"/>
    <mergeCell ref="AR50:AV50"/>
    <mergeCell ref="AW50:AY50"/>
    <mergeCell ref="AJ47:AK47"/>
    <mergeCell ref="AL47:AM47"/>
    <mergeCell ref="AN47:AO47"/>
    <mergeCell ref="AP47:AQ47"/>
    <mergeCell ref="AR47:AV47"/>
    <mergeCell ref="AW47:AY47"/>
    <mergeCell ref="AJ48:AK48"/>
    <mergeCell ref="AL48:AM48"/>
    <mergeCell ref="AN48:AO48"/>
    <mergeCell ref="AP48:AQ48"/>
    <mergeCell ref="AR48:AV48"/>
    <mergeCell ref="AW48:AY48"/>
    <mergeCell ref="AJ49:AK49"/>
    <mergeCell ref="AL45:AM45"/>
    <mergeCell ref="AN45:AO45"/>
    <mergeCell ref="AP45:AQ45"/>
    <mergeCell ref="AR45:AV45"/>
    <mergeCell ref="AW45:AY45"/>
    <mergeCell ref="AL41:AM41"/>
    <mergeCell ref="AN41:AO41"/>
    <mergeCell ref="AP41:AQ41"/>
    <mergeCell ref="AR41:AV41"/>
    <mergeCell ref="AW41:AY41"/>
    <mergeCell ref="AJ42:AK42"/>
    <mergeCell ref="AL42:AM42"/>
    <mergeCell ref="AJ46:AK46"/>
    <mergeCell ref="AL46:AM46"/>
    <mergeCell ref="AN46:AO46"/>
    <mergeCell ref="AP46:AQ46"/>
    <mergeCell ref="AR46:AV46"/>
    <mergeCell ref="AW46:AY46"/>
    <mergeCell ref="AJ43:AK43"/>
    <mergeCell ref="AL43:AM43"/>
    <mergeCell ref="AN43:AO43"/>
    <mergeCell ref="AP43:AQ43"/>
    <mergeCell ref="AR43:AV43"/>
    <mergeCell ref="AW43:AY43"/>
    <mergeCell ref="AJ44:AK44"/>
    <mergeCell ref="AL44:AM44"/>
    <mergeCell ref="AN44:AO44"/>
    <mergeCell ref="AP44:AQ44"/>
    <mergeCell ref="AR44:AV44"/>
    <mergeCell ref="AW44:AY44"/>
    <mergeCell ref="AJ45:AK45"/>
    <mergeCell ref="AW32:AY32"/>
    <mergeCell ref="AL33:AM33"/>
    <mergeCell ref="AN33:AO33"/>
    <mergeCell ref="AP33:AQ33"/>
    <mergeCell ref="AN42:AO42"/>
    <mergeCell ref="AP42:AQ42"/>
    <mergeCell ref="AR42:AV42"/>
    <mergeCell ref="AW42:AY42"/>
    <mergeCell ref="AJ39:AK39"/>
    <mergeCell ref="AL39:AM39"/>
    <mergeCell ref="AN39:AO39"/>
    <mergeCell ref="AP39:AQ39"/>
    <mergeCell ref="AR39:AV39"/>
    <mergeCell ref="AW39:AY39"/>
    <mergeCell ref="AJ40:AK40"/>
    <mergeCell ref="AL40:AM40"/>
    <mergeCell ref="AN40:AO40"/>
    <mergeCell ref="AP40:AQ40"/>
    <mergeCell ref="AR40:AV40"/>
    <mergeCell ref="AW40:AY40"/>
    <mergeCell ref="AW33:AY33"/>
    <mergeCell ref="AJ37:AK37"/>
    <mergeCell ref="AJ41:AK41"/>
    <mergeCell ref="AN29:AO29"/>
    <mergeCell ref="AP29:AQ29"/>
    <mergeCell ref="AR29:AV29"/>
    <mergeCell ref="AW29:AY29"/>
    <mergeCell ref="AL32:AM32"/>
    <mergeCell ref="AL37:AM37"/>
    <mergeCell ref="AN37:AO37"/>
    <mergeCell ref="AP37:AQ37"/>
    <mergeCell ref="AR37:AV37"/>
    <mergeCell ref="AW37:AY37"/>
    <mergeCell ref="AJ38:AK38"/>
    <mergeCell ref="AL38:AM38"/>
    <mergeCell ref="AN38:AO38"/>
    <mergeCell ref="AP38:AQ38"/>
    <mergeCell ref="AR38:AV38"/>
    <mergeCell ref="AW38:AY38"/>
    <mergeCell ref="AJ35:AK35"/>
    <mergeCell ref="AL35:AM35"/>
    <mergeCell ref="AN35:AO35"/>
    <mergeCell ref="AP35:AQ35"/>
    <mergeCell ref="AR35:AV35"/>
    <mergeCell ref="AW35:AY35"/>
    <mergeCell ref="AJ36:AK36"/>
    <mergeCell ref="AL36:AM36"/>
    <mergeCell ref="AN36:AO36"/>
    <mergeCell ref="AP36:AQ36"/>
    <mergeCell ref="AW34:AY34"/>
    <mergeCell ref="AR36:AV36"/>
    <mergeCell ref="AW36:AY36"/>
    <mergeCell ref="AN32:AO32"/>
    <mergeCell ref="AP32:AQ32"/>
    <mergeCell ref="AR32:AV32"/>
    <mergeCell ref="AJ10:AK10"/>
    <mergeCell ref="AL10:AM10"/>
    <mergeCell ref="AN10:AO10"/>
    <mergeCell ref="AP10:AQ10"/>
    <mergeCell ref="AR10:AV10"/>
    <mergeCell ref="AW10:AY10"/>
    <mergeCell ref="AJ11:AK11"/>
    <mergeCell ref="AL11:AM11"/>
    <mergeCell ref="AN11:AO11"/>
    <mergeCell ref="AP11:AQ11"/>
    <mergeCell ref="AR11:AV11"/>
    <mergeCell ref="AW11:AY11"/>
    <mergeCell ref="AL17:AM17"/>
    <mergeCell ref="AN17:AO17"/>
    <mergeCell ref="AP17:AQ17"/>
    <mergeCell ref="AR17:AV17"/>
    <mergeCell ref="AW17:AY17"/>
    <mergeCell ref="AJ15:AK15"/>
    <mergeCell ref="AL15:AM15"/>
    <mergeCell ref="AN15:AO15"/>
    <mergeCell ref="AP15:AQ15"/>
    <mergeCell ref="AR15:AV15"/>
    <mergeCell ref="AW15:AY15"/>
    <mergeCell ref="AJ16:AK16"/>
    <mergeCell ref="AL16:AM16"/>
    <mergeCell ref="AJ13:AK13"/>
    <mergeCell ref="AL13:AM13"/>
    <mergeCell ref="AN13:AO13"/>
    <mergeCell ref="AP13:AQ13"/>
    <mergeCell ref="AR13:AV13"/>
    <mergeCell ref="AW13:AY13"/>
    <mergeCell ref="AJ5:AK5"/>
    <mergeCell ref="AL5:AM5"/>
    <mergeCell ref="AN5:AO5"/>
    <mergeCell ref="AP5:AQ5"/>
    <mergeCell ref="AR5:AV5"/>
    <mergeCell ref="AW5:AY5"/>
    <mergeCell ref="AJ6:AK6"/>
    <mergeCell ref="AL6:AM6"/>
    <mergeCell ref="AN6:AO6"/>
    <mergeCell ref="AP6:AQ6"/>
    <mergeCell ref="AR6:AV6"/>
    <mergeCell ref="AW6:AY6"/>
    <mergeCell ref="AJ9:AK9"/>
    <mergeCell ref="AL9:AM9"/>
    <mergeCell ref="AN9:AO9"/>
    <mergeCell ref="AP9:AQ9"/>
    <mergeCell ref="AR9:AV9"/>
    <mergeCell ref="AW9:AY9"/>
    <mergeCell ref="J37:N37"/>
    <mergeCell ref="J40:N40"/>
    <mergeCell ref="J41:N41"/>
    <mergeCell ref="J38:N38"/>
    <mergeCell ref="J39:N39"/>
    <mergeCell ref="J44:N44"/>
    <mergeCell ref="J45:N45"/>
    <mergeCell ref="J42:N42"/>
    <mergeCell ref="J43:N43"/>
    <mergeCell ref="J48:N48"/>
    <mergeCell ref="AJ7:AK7"/>
    <mergeCell ref="AL7:AM7"/>
    <mergeCell ref="AN7:AO7"/>
    <mergeCell ref="AP7:AQ7"/>
    <mergeCell ref="AR7:AV7"/>
    <mergeCell ref="AW7:AY7"/>
    <mergeCell ref="AJ8:AK8"/>
    <mergeCell ref="AL8:AM8"/>
    <mergeCell ref="AN8:AO8"/>
    <mergeCell ref="AP8:AQ8"/>
    <mergeCell ref="AR8:AV8"/>
    <mergeCell ref="AW8:AY8"/>
    <mergeCell ref="AJ14:AK14"/>
    <mergeCell ref="AL14:AM14"/>
    <mergeCell ref="AN14:AO14"/>
    <mergeCell ref="AP14:AQ14"/>
    <mergeCell ref="AR14:AV14"/>
    <mergeCell ref="AW14:AY14"/>
    <mergeCell ref="AN12:AO12"/>
    <mergeCell ref="AP12:AQ12"/>
    <mergeCell ref="AR12:AV12"/>
    <mergeCell ref="AW12:AY12"/>
    <mergeCell ref="B8:C8"/>
    <mergeCell ref="B9:C9"/>
    <mergeCell ref="B10:C10"/>
    <mergeCell ref="B11:C11"/>
    <mergeCell ref="B12:C12"/>
    <mergeCell ref="B13:C13"/>
    <mergeCell ref="J28:N28"/>
    <mergeCell ref="J29:N29"/>
    <mergeCell ref="J26:N26"/>
    <mergeCell ref="J27:N27"/>
    <mergeCell ref="J32:N32"/>
    <mergeCell ref="J33:N33"/>
    <mergeCell ref="J30:N30"/>
    <mergeCell ref="J31:N31"/>
    <mergeCell ref="J36:N36"/>
    <mergeCell ref="J34:N34"/>
    <mergeCell ref="J35:N35"/>
    <mergeCell ref="J16:N16"/>
    <mergeCell ref="J17:N17"/>
    <mergeCell ref="J15:N15"/>
    <mergeCell ref="J20:N20"/>
    <mergeCell ref="J21:N21"/>
    <mergeCell ref="J18:N18"/>
    <mergeCell ref="J19:N19"/>
    <mergeCell ref="J24:N24"/>
    <mergeCell ref="J25:N25"/>
    <mergeCell ref="J22:N22"/>
    <mergeCell ref="J23:N2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46:C46"/>
    <mergeCell ref="B47:C47"/>
    <mergeCell ref="B48:C48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9:C49"/>
    <mergeCell ref="B50:C50"/>
    <mergeCell ref="B51:C51"/>
    <mergeCell ref="B52:C52"/>
    <mergeCell ref="B53:C53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B40:C40"/>
    <mergeCell ref="D23:E23"/>
    <mergeCell ref="D24:E24"/>
    <mergeCell ref="D25:E25"/>
    <mergeCell ref="D26:E26"/>
    <mergeCell ref="D27:E27"/>
    <mergeCell ref="D28:E28"/>
    <mergeCell ref="D29:E29"/>
    <mergeCell ref="D30:E30"/>
    <mergeCell ref="D53:E53"/>
    <mergeCell ref="F5:G5"/>
    <mergeCell ref="H5:I5"/>
    <mergeCell ref="F6:G6"/>
    <mergeCell ref="H6:I6"/>
    <mergeCell ref="F7:G7"/>
    <mergeCell ref="H7:I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D41:E41"/>
    <mergeCell ref="F21:G21"/>
    <mergeCell ref="F22:G22"/>
    <mergeCell ref="F23:G23"/>
    <mergeCell ref="F24:G24"/>
    <mergeCell ref="F25:G25"/>
    <mergeCell ref="F26:G26"/>
    <mergeCell ref="F27:G27"/>
    <mergeCell ref="F28:G28"/>
    <mergeCell ref="D31:E31"/>
    <mergeCell ref="D42:E42"/>
    <mergeCell ref="D43:E43"/>
    <mergeCell ref="F47:G47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D50:E50"/>
    <mergeCell ref="D51:E51"/>
    <mergeCell ref="D52:E52"/>
    <mergeCell ref="D44:E44"/>
    <mergeCell ref="D45:E45"/>
    <mergeCell ref="D46:E46"/>
    <mergeCell ref="D47:E47"/>
    <mergeCell ref="D48:E48"/>
    <mergeCell ref="D49:E49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52:G52"/>
    <mergeCell ref="F53:G53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F39:G39"/>
    <mergeCell ref="H25:I25"/>
    <mergeCell ref="H26:I26"/>
    <mergeCell ref="H27:I27"/>
    <mergeCell ref="H28:I28"/>
    <mergeCell ref="H29:I29"/>
    <mergeCell ref="H30:I30"/>
    <mergeCell ref="H31:I31"/>
    <mergeCell ref="H32:I32"/>
    <mergeCell ref="F29:G29"/>
    <mergeCell ref="F43:G43"/>
    <mergeCell ref="F44:G44"/>
    <mergeCell ref="F45:G45"/>
    <mergeCell ref="F46:G46"/>
    <mergeCell ref="B16:C16"/>
    <mergeCell ref="O5:Q5"/>
    <mergeCell ref="O7:Q7"/>
    <mergeCell ref="O6:Q6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J5:N5"/>
    <mergeCell ref="J6:N6"/>
    <mergeCell ref="J9:N9"/>
    <mergeCell ref="J10:N10"/>
    <mergeCell ref="J7:N7"/>
    <mergeCell ref="J8:N8"/>
    <mergeCell ref="J13:N13"/>
    <mergeCell ref="J14:N14"/>
    <mergeCell ref="J11:N11"/>
    <mergeCell ref="J12:N12"/>
    <mergeCell ref="B14:C14"/>
    <mergeCell ref="B15:C15"/>
    <mergeCell ref="B5:C5"/>
    <mergeCell ref="B6:C6"/>
    <mergeCell ref="B7:C7"/>
    <mergeCell ref="O21:Q21"/>
    <mergeCell ref="O22:Q22"/>
    <mergeCell ref="O23:Q23"/>
    <mergeCell ref="O24:Q24"/>
    <mergeCell ref="O25:Q25"/>
    <mergeCell ref="O26:Q26"/>
    <mergeCell ref="O27:Q27"/>
    <mergeCell ref="H33:I33"/>
    <mergeCell ref="H34:I34"/>
    <mergeCell ref="H35:I35"/>
    <mergeCell ref="H36:I36"/>
    <mergeCell ref="H37:I37"/>
    <mergeCell ref="H38:I38"/>
    <mergeCell ref="H39:I39"/>
    <mergeCell ref="O53:Q53"/>
    <mergeCell ref="O38:Q38"/>
    <mergeCell ref="O39:Q39"/>
    <mergeCell ref="O40:Q40"/>
    <mergeCell ref="O41:Q41"/>
    <mergeCell ref="O42:Q42"/>
    <mergeCell ref="O43:Q43"/>
    <mergeCell ref="O44:Q44"/>
    <mergeCell ref="O45:Q45"/>
    <mergeCell ref="O46:Q46"/>
    <mergeCell ref="O52:Q52"/>
    <mergeCell ref="J49:N49"/>
    <mergeCell ref="J46:N46"/>
    <mergeCell ref="J47:N47"/>
    <mergeCell ref="J52:N52"/>
    <mergeCell ref="J53:N53"/>
    <mergeCell ref="J50:N50"/>
    <mergeCell ref="J51:N51"/>
    <mergeCell ref="B21:C21"/>
    <mergeCell ref="B20:C20"/>
    <mergeCell ref="B19:C19"/>
    <mergeCell ref="B18:C18"/>
    <mergeCell ref="B17:C17"/>
    <mergeCell ref="H40:I40"/>
    <mergeCell ref="H41:I41"/>
    <mergeCell ref="F48:G48"/>
    <mergeCell ref="F49:G49"/>
    <mergeCell ref="F50:G50"/>
    <mergeCell ref="F51:G51"/>
    <mergeCell ref="AZ34:BD34"/>
    <mergeCell ref="O28:Q28"/>
    <mergeCell ref="O29:Q29"/>
    <mergeCell ref="O30:Q30"/>
    <mergeCell ref="O31:Q31"/>
    <mergeCell ref="O32:Q32"/>
    <mergeCell ref="O33:Q33"/>
    <mergeCell ref="O34:Q34"/>
    <mergeCell ref="O35:Q35"/>
    <mergeCell ref="O36:Q36"/>
    <mergeCell ref="O37:Q37"/>
    <mergeCell ref="O47:Q47"/>
    <mergeCell ref="O48:Q48"/>
    <mergeCell ref="O49:Q49"/>
    <mergeCell ref="O50:Q50"/>
    <mergeCell ref="O51:Q51"/>
    <mergeCell ref="AJ34:AK34"/>
    <mergeCell ref="AL34:AM34"/>
    <mergeCell ref="AN34:AO34"/>
    <mergeCell ref="AP34:AQ34"/>
    <mergeCell ref="AR34:AV34"/>
    <mergeCell ref="BT5:BX5"/>
    <mergeCell ref="BY5:CA5"/>
    <mergeCell ref="BL6:BM6"/>
    <mergeCell ref="BN6:BO6"/>
    <mergeCell ref="BP6:BQ6"/>
    <mergeCell ref="BR6:BS6"/>
    <mergeCell ref="BT6:BX6"/>
    <mergeCell ref="BY6:CA6"/>
    <mergeCell ref="BR9:BS9"/>
    <mergeCell ref="BT9:BX9"/>
    <mergeCell ref="BY9:CA9"/>
    <mergeCell ref="BR10:BS10"/>
    <mergeCell ref="BT10:BX10"/>
    <mergeCell ref="BY10:CA10"/>
    <mergeCell ref="AZ36:BD36"/>
    <mergeCell ref="AZ5:BD5"/>
    <mergeCell ref="AZ6:BD6"/>
    <mergeCell ref="AZ7:BD7"/>
    <mergeCell ref="AZ8:BD8"/>
    <mergeCell ref="AZ9:BD9"/>
    <mergeCell ref="AZ17:BD17"/>
    <mergeCell ref="AZ22:BD22"/>
    <mergeCell ref="AZ23:BD23"/>
    <mergeCell ref="AZ24:BD24"/>
    <mergeCell ref="AZ25:BD25"/>
    <mergeCell ref="AZ26:BD26"/>
    <mergeCell ref="AZ27:BD27"/>
    <mergeCell ref="BL25:BM25"/>
    <mergeCell ref="BN25:BO25"/>
    <mergeCell ref="BP25:BQ25"/>
    <mergeCell ref="BL8:BM8"/>
    <mergeCell ref="BN8:BO8"/>
    <mergeCell ref="BR25:BS25"/>
    <mergeCell ref="BT25:BX25"/>
    <mergeCell ref="BY25:CA25"/>
    <mergeCell ref="BL26:BM26"/>
    <mergeCell ref="BN26:BO26"/>
    <mergeCell ref="BP26:BQ26"/>
    <mergeCell ref="BR26:BS26"/>
    <mergeCell ref="BT26:BX26"/>
    <mergeCell ref="BY26:CA26"/>
    <mergeCell ref="BL23:BM23"/>
    <mergeCell ref="BN23:BO23"/>
    <mergeCell ref="CB5:CF5"/>
    <mergeCell ref="CB6:CF6"/>
    <mergeCell ref="CB7:CF7"/>
    <mergeCell ref="CB8:CF8"/>
    <mergeCell ref="CB9:CF9"/>
    <mergeCell ref="CB10:CF10"/>
    <mergeCell ref="CB11:CF11"/>
    <mergeCell ref="CB12:CF12"/>
    <mergeCell ref="CB13:CF13"/>
    <mergeCell ref="CB14:CF14"/>
    <mergeCell ref="CB15:CF15"/>
    <mergeCell ref="CB16:CF16"/>
    <mergeCell ref="CB17:CF17"/>
    <mergeCell ref="CB18:CF18"/>
    <mergeCell ref="CB19:CF19"/>
    <mergeCell ref="CB20:CF20"/>
    <mergeCell ref="BR7:BS7"/>
    <mergeCell ref="BT7:BX7"/>
    <mergeCell ref="BY7:CA7"/>
    <mergeCell ref="BY15:CA15"/>
    <mergeCell ref="BR5:BS5"/>
    <mergeCell ref="AZ52:BD52"/>
    <mergeCell ref="AZ53:BD53"/>
    <mergeCell ref="AZ54:BD54"/>
    <mergeCell ref="AZ55:BD55"/>
    <mergeCell ref="AZ56:BD56"/>
    <mergeCell ref="AZ57:BD57"/>
    <mergeCell ref="AZ58:BD58"/>
    <mergeCell ref="AZ59:BD59"/>
    <mergeCell ref="AZ60:BD60"/>
    <mergeCell ref="AZ61:BD61"/>
    <mergeCell ref="AZ62:BD62"/>
    <mergeCell ref="AZ63:BD63"/>
    <mergeCell ref="AZ64:BD64"/>
    <mergeCell ref="AZ65:BD65"/>
    <mergeCell ref="AZ66:BD66"/>
    <mergeCell ref="AZ67:BD67"/>
    <mergeCell ref="BL37:BM37"/>
    <mergeCell ref="AZ37:BD37"/>
    <mergeCell ref="AZ38:BD38"/>
    <mergeCell ref="AZ39:BD39"/>
    <mergeCell ref="AZ40:BD40"/>
    <mergeCell ref="AZ41:BD41"/>
    <mergeCell ref="AZ42:BD42"/>
    <mergeCell ref="AZ43:BD43"/>
    <mergeCell ref="AZ44:BD44"/>
    <mergeCell ref="AZ45:BD45"/>
    <mergeCell ref="AZ46:BD46"/>
    <mergeCell ref="AZ47:BD47"/>
    <mergeCell ref="AZ48:BD48"/>
    <mergeCell ref="AZ49:BD49"/>
    <mergeCell ref="AZ50:BD50"/>
    <mergeCell ref="AZ51:BD51"/>
    <mergeCell ref="CB39:CF39"/>
    <mergeCell ref="CB40:CF40"/>
    <mergeCell ref="CB41:CF41"/>
    <mergeCell ref="CB42:CF42"/>
    <mergeCell ref="CB43:CF43"/>
    <mergeCell ref="CB44:CF44"/>
    <mergeCell ref="CB45:CF45"/>
    <mergeCell ref="CB46:CF46"/>
    <mergeCell ref="CB47:CF47"/>
    <mergeCell ref="CB48:CF48"/>
    <mergeCell ref="CB49:CF49"/>
    <mergeCell ref="CB50:CF50"/>
    <mergeCell ref="CB51:CF51"/>
    <mergeCell ref="CB52:CF52"/>
    <mergeCell ref="CB53:CF53"/>
    <mergeCell ref="DE5:DI5"/>
    <mergeCell ref="DE6:DI6"/>
    <mergeCell ref="DE7:DI7"/>
    <mergeCell ref="DE8:DI8"/>
    <mergeCell ref="DE9:DI9"/>
    <mergeCell ref="DE10:DI10"/>
    <mergeCell ref="DE11:DI11"/>
    <mergeCell ref="DE12:DI12"/>
    <mergeCell ref="DE13:DI13"/>
    <mergeCell ref="DE14:DI14"/>
    <mergeCell ref="DE15:DI15"/>
    <mergeCell ref="DE16:DI16"/>
    <mergeCell ref="DE17:DI17"/>
    <mergeCell ref="DE18:DI18"/>
    <mergeCell ref="DE19:DI19"/>
    <mergeCell ref="DE20:DI20"/>
    <mergeCell ref="CB21:CF21"/>
    <mergeCell ref="DE25:DI25"/>
    <mergeCell ref="DE26:DI26"/>
    <mergeCell ref="DE27:DI27"/>
    <mergeCell ref="DE28:DI28"/>
    <mergeCell ref="DE29:DI29"/>
    <mergeCell ref="DE30:DI30"/>
    <mergeCell ref="DE31:DI31"/>
    <mergeCell ref="DE32:DI32"/>
    <mergeCell ref="DE33:DI33"/>
    <mergeCell ref="DE34:DI34"/>
    <mergeCell ref="DE35:DI35"/>
    <mergeCell ref="DE36:DI36"/>
    <mergeCell ref="DE37:DI37"/>
    <mergeCell ref="CB38:CF38"/>
    <mergeCell ref="CB22:CF22"/>
    <mergeCell ref="CB23:CF23"/>
    <mergeCell ref="CB24:CF24"/>
    <mergeCell ref="CB25:CF25"/>
    <mergeCell ref="CB26:CF26"/>
    <mergeCell ref="CB27:CF27"/>
    <mergeCell ref="CB28:CF28"/>
    <mergeCell ref="CB29:CF29"/>
    <mergeCell ref="CB30:CF30"/>
    <mergeCell ref="CB31:CF31"/>
    <mergeCell ref="CB32:CF32"/>
    <mergeCell ref="CB33:CF33"/>
    <mergeCell ref="CB34:CF34"/>
    <mergeCell ref="CB35:CF35"/>
    <mergeCell ref="CB36:CF36"/>
    <mergeCell ref="CB37:CF37"/>
    <mergeCell ref="CO23:CP23"/>
    <mergeCell ref="CQ23:CR23"/>
    <mergeCell ref="EG5:EK5"/>
    <mergeCell ref="EG6:EK6"/>
    <mergeCell ref="EG7:EK7"/>
    <mergeCell ref="EG8:EK8"/>
    <mergeCell ref="EG9:EK9"/>
    <mergeCell ref="EG10:EK10"/>
    <mergeCell ref="EG11:EK11"/>
    <mergeCell ref="EG12:EK12"/>
    <mergeCell ref="EG13:EK13"/>
    <mergeCell ref="EG14:EK14"/>
    <mergeCell ref="EG15:EK15"/>
    <mergeCell ref="EG16:EK16"/>
    <mergeCell ref="EG17:EK17"/>
    <mergeCell ref="EG18:EK18"/>
    <mergeCell ref="EG19:EK19"/>
    <mergeCell ref="EG20:EK20"/>
    <mergeCell ref="DE21:DI21"/>
    <mergeCell ref="DW5:DX5"/>
    <mergeCell ref="DY5:EC5"/>
    <mergeCell ref="ED5:EF5"/>
    <mergeCell ref="DQ6:DR6"/>
    <mergeCell ref="DS6:DT6"/>
    <mergeCell ref="DU6:DV6"/>
    <mergeCell ref="DW6:DX6"/>
    <mergeCell ref="DY6:EC6"/>
    <mergeCell ref="ED6:EF6"/>
    <mergeCell ref="DW9:DX9"/>
    <mergeCell ref="DY9:EC9"/>
    <mergeCell ref="ED9:EF9"/>
    <mergeCell ref="DW10:DX10"/>
    <mergeCell ref="DY10:EC10"/>
    <mergeCell ref="ED10:EF10"/>
    <mergeCell ref="EG37:EK37"/>
    <mergeCell ref="DE38:DI38"/>
    <mergeCell ref="DE39:DI39"/>
    <mergeCell ref="DE40:DI40"/>
    <mergeCell ref="DE41:DI41"/>
    <mergeCell ref="DE42:DI42"/>
    <mergeCell ref="DE43:DI43"/>
    <mergeCell ref="DE44:DI44"/>
    <mergeCell ref="DE45:DI45"/>
    <mergeCell ref="DE46:DI46"/>
    <mergeCell ref="DE47:DI47"/>
    <mergeCell ref="DE48:DI48"/>
    <mergeCell ref="DE49:DI49"/>
    <mergeCell ref="DE50:DI50"/>
    <mergeCell ref="DE51:DI51"/>
    <mergeCell ref="DE52:DI52"/>
    <mergeCell ref="DE53:DI53"/>
    <mergeCell ref="DQ37:DR37"/>
    <mergeCell ref="DS37:DT37"/>
    <mergeCell ref="DU37:DV37"/>
    <mergeCell ref="DW37:DX37"/>
    <mergeCell ref="DY37:EC37"/>
    <mergeCell ref="ED37:EF37"/>
    <mergeCell ref="DQ38:DR38"/>
    <mergeCell ref="DS38:DT38"/>
    <mergeCell ref="DU38:DV38"/>
    <mergeCell ref="DW38:DX38"/>
    <mergeCell ref="DY38:EC38"/>
    <mergeCell ref="ED38:EF38"/>
    <mergeCell ref="DQ42:DR42"/>
    <mergeCell ref="DS42:DT42"/>
    <mergeCell ref="DU42:DV42"/>
    <mergeCell ref="EG38:EK38"/>
    <mergeCell ref="EG39:EK39"/>
    <mergeCell ref="EG40:EK40"/>
    <mergeCell ref="EG41:EK41"/>
    <mergeCell ref="EG42:EK42"/>
    <mergeCell ref="EG43:EK43"/>
    <mergeCell ref="EG44:EK44"/>
    <mergeCell ref="EG45:EK45"/>
    <mergeCell ref="EG46:EK46"/>
    <mergeCell ref="EG47:EK47"/>
    <mergeCell ref="EG48:EK48"/>
    <mergeCell ref="EG49:EK49"/>
    <mergeCell ref="EG50:EK50"/>
    <mergeCell ref="EG51:EK51"/>
    <mergeCell ref="EG52:EK52"/>
    <mergeCell ref="EG53:EK53"/>
    <mergeCell ref="EG21:EK21"/>
    <mergeCell ref="EG22:EK22"/>
    <mergeCell ref="EG23:EK23"/>
    <mergeCell ref="EG24:EK24"/>
    <mergeCell ref="EG25:EK25"/>
    <mergeCell ref="EG26:EK26"/>
    <mergeCell ref="EG27:EK27"/>
    <mergeCell ref="EG28:EK28"/>
    <mergeCell ref="EG29:EK29"/>
    <mergeCell ref="EG30:EK30"/>
    <mergeCell ref="EG31:EK31"/>
    <mergeCell ref="EG32:EK32"/>
    <mergeCell ref="EG33:EK33"/>
    <mergeCell ref="EG34:EK34"/>
    <mergeCell ref="EG35:EK35"/>
    <mergeCell ref="EG36:EK36"/>
    <mergeCell ref="R5:V5"/>
    <mergeCell ref="W5:AA5"/>
    <mergeCell ref="R6:V6"/>
    <mergeCell ref="W6:AA6"/>
    <mergeCell ref="R7:V7"/>
    <mergeCell ref="W7:AA7"/>
    <mergeCell ref="R8:V8"/>
    <mergeCell ref="W8:AA8"/>
    <mergeCell ref="R9:V9"/>
    <mergeCell ref="W9:AA9"/>
    <mergeCell ref="R10:V10"/>
    <mergeCell ref="W10:AA10"/>
    <mergeCell ref="R11:V11"/>
    <mergeCell ref="W11:AA11"/>
    <mergeCell ref="R12:V12"/>
    <mergeCell ref="W12:AA12"/>
    <mergeCell ref="R13:V13"/>
    <mergeCell ref="W13:AA13"/>
    <mergeCell ref="R14:V14"/>
    <mergeCell ref="W14:AA14"/>
    <mergeCell ref="R15:V15"/>
    <mergeCell ref="W15:AA15"/>
    <mergeCell ref="R16:V16"/>
    <mergeCell ref="W16:AA16"/>
    <mergeCell ref="R17:V17"/>
    <mergeCell ref="W17:AA17"/>
    <mergeCell ref="R18:V18"/>
    <mergeCell ref="W18:AA18"/>
    <mergeCell ref="R19:V19"/>
    <mergeCell ref="W19:AA19"/>
    <mergeCell ref="R20:V20"/>
    <mergeCell ref="W20:AA20"/>
    <mergeCell ref="R21:V21"/>
    <mergeCell ref="W21:AA21"/>
    <mergeCell ref="R22:V22"/>
    <mergeCell ref="W22:AA22"/>
    <mergeCell ref="R49:V49"/>
    <mergeCell ref="W49:AA49"/>
    <mergeCell ref="R50:V50"/>
    <mergeCell ref="W50:AA50"/>
    <mergeCell ref="R23:V23"/>
    <mergeCell ref="W23:AA23"/>
    <mergeCell ref="R24:V24"/>
    <mergeCell ref="W24:AA24"/>
    <mergeCell ref="R25:V25"/>
    <mergeCell ref="W25:AA25"/>
    <mergeCell ref="R26:V26"/>
    <mergeCell ref="W26:AA26"/>
    <mergeCell ref="R27:V27"/>
    <mergeCell ref="W27:AA27"/>
    <mergeCell ref="R28:V28"/>
    <mergeCell ref="W28:AA28"/>
    <mergeCell ref="R29:V29"/>
    <mergeCell ref="W29:AA29"/>
    <mergeCell ref="R30:V30"/>
    <mergeCell ref="W30:AA30"/>
    <mergeCell ref="R31:V31"/>
    <mergeCell ref="W31:AA31"/>
    <mergeCell ref="R36:V36"/>
    <mergeCell ref="W36:AA36"/>
    <mergeCell ref="R37:V37"/>
    <mergeCell ref="W37:AA37"/>
    <mergeCell ref="R38:V38"/>
    <mergeCell ref="W38:AA38"/>
    <mergeCell ref="R35:V35"/>
    <mergeCell ref="W35:AA35"/>
    <mergeCell ref="R40:V40"/>
    <mergeCell ref="R39:V39"/>
    <mergeCell ref="W39:AA39"/>
    <mergeCell ref="AJ33:AK33"/>
    <mergeCell ref="AJ32:AK32"/>
    <mergeCell ref="R51:V51"/>
    <mergeCell ref="W51:AA51"/>
    <mergeCell ref="R52:V52"/>
    <mergeCell ref="W52:AA52"/>
    <mergeCell ref="R53:V53"/>
    <mergeCell ref="W53:AA53"/>
    <mergeCell ref="R41:V41"/>
    <mergeCell ref="W41:AA41"/>
    <mergeCell ref="R42:V42"/>
    <mergeCell ref="W42:AA42"/>
    <mergeCell ref="R43:V43"/>
    <mergeCell ref="W43:AA43"/>
    <mergeCell ref="R44:V44"/>
    <mergeCell ref="W44:AA44"/>
    <mergeCell ref="R45:V45"/>
    <mergeCell ref="W45:AA45"/>
    <mergeCell ref="R46:V46"/>
    <mergeCell ref="W46:AA46"/>
    <mergeCell ref="R47:V47"/>
    <mergeCell ref="W47:AA47"/>
    <mergeCell ref="R48:V48"/>
    <mergeCell ref="R32:V32"/>
    <mergeCell ref="W32:AA32"/>
    <mergeCell ref="R33:V33"/>
    <mergeCell ref="W33:AA33"/>
    <mergeCell ref="R34:V34"/>
    <mergeCell ref="W34:AA34"/>
    <mergeCell ref="W48:AA48"/>
    <mergeCell ref="W40:AA40"/>
    <mergeCell ref="AZ35:BD35"/>
    <mergeCell ref="AP22:AQ22"/>
    <mergeCell ref="AR22:AV22"/>
    <mergeCell ref="AW22:AY22"/>
    <mergeCell ref="AJ20:AK20"/>
    <mergeCell ref="AL20:AM20"/>
    <mergeCell ref="AJ18:AK18"/>
    <mergeCell ref="AL18:AM18"/>
    <mergeCell ref="AN18:AO18"/>
    <mergeCell ref="AP18:AQ18"/>
    <mergeCell ref="AR18:AV18"/>
    <mergeCell ref="AW18:AY18"/>
    <mergeCell ref="AP26:AQ26"/>
    <mergeCell ref="AR26:AV26"/>
    <mergeCell ref="AW26:AY26"/>
    <mergeCell ref="BE21:BI21"/>
    <mergeCell ref="AL28:AM28"/>
    <mergeCell ref="AN28:AO28"/>
    <mergeCell ref="AP28:AQ28"/>
    <mergeCell ref="AR28:AV28"/>
    <mergeCell ref="AW24:AY24"/>
    <mergeCell ref="AJ22:AK22"/>
    <mergeCell ref="AL22:AM22"/>
    <mergeCell ref="AN22:AO22"/>
    <mergeCell ref="AJ21:AK21"/>
    <mergeCell ref="AL21:AM21"/>
    <mergeCell ref="AN21:AO21"/>
    <mergeCell ref="AP21:AQ21"/>
    <mergeCell ref="AR21:AV21"/>
    <mergeCell ref="AW21:AY21"/>
    <mergeCell ref="AZ21:BD21"/>
    <mergeCell ref="AR33:AV33"/>
    <mergeCell ref="AZ13:BD13"/>
    <mergeCell ref="BE13:BI13"/>
    <mergeCell ref="AZ18:BD18"/>
    <mergeCell ref="BE18:BI18"/>
    <mergeCell ref="AJ19:AK19"/>
    <mergeCell ref="AL19:AM19"/>
    <mergeCell ref="AN19:AO19"/>
    <mergeCell ref="AP19:AQ19"/>
    <mergeCell ref="AR19:AV19"/>
    <mergeCell ref="AW19:AY19"/>
    <mergeCell ref="AZ19:BD19"/>
    <mergeCell ref="AJ23:AK23"/>
    <mergeCell ref="AL23:AM23"/>
    <mergeCell ref="AN23:AO23"/>
    <mergeCell ref="AP23:AQ23"/>
    <mergeCell ref="AR23:AV23"/>
    <mergeCell ref="AW23:AY23"/>
    <mergeCell ref="AJ17:AK17"/>
    <mergeCell ref="AZ14:BD14"/>
    <mergeCell ref="AZ15:BD15"/>
    <mergeCell ref="AZ16:BD16"/>
    <mergeCell ref="AJ24:AK24"/>
    <mergeCell ref="AL24:AM24"/>
    <mergeCell ref="AN24:AO24"/>
    <mergeCell ref="AP24:AQ24"/>
    <mergeCell ref="AZ11:BD11"/>
    <mergeCell ref="BE11:BI11"/>
    <mergeCell ref="AJ12:AK12"/>
    <mergeCell ref="AL12:AM12"/>
    <mergeCell ref="AZ12:BD12"/>
    <mergeCell ref="BE12:BI12"/>
    <mergeCell ref="AZ30:BD30"/>
    <mergeCell ref="BE30:BI30"/>
    <mergeCell ref="AJ31:AK31"/>
    <mergeCell ref="AL31:AM31"/>
    <mergeCell ref="AN31:AO31"/>
    <mergeCell ref="AP31:AQ31"/>
    <mergeCell ref="AR31:AV31"/>
    <mergeCell ref="AW31:AY31"/>
    <mergeCell ref="AZ31:BD31"/>
    <mergeCell ref="BE31:BI31"/>
    <mergeCell ref="AZ28:BD28"/>
    <mergeCell ref="BE28:BI28"/>
    <mergeCell ref="AN20:AO20"/>
    <mergeCell ref="AP20:AQ20"/>
    <mergeCell ref="AR20:AV20"/>
    <mergeCell ref="AW20:AY20"/>
    <mergeCell ref="AZ20:BD20"/>
    <mergeCell ref="BE20:BI20"/>
    <mergeCell ref="AN16:AO16"/>
    <mergeCell ref="AP16:AQ16"/>
    <mergeCell ref="AR16:AV16"/>
    <mergeCell ref="AW16:AY16"/>
    <mergeCell ref="ES23:ET23"/>
    <mergeCell ref="EU23:EV23"/>
    <mergeCell ref="EW23:EX23"/>
    <mergeCell ref="EY23:EZ23"/>
    <mergeCell ref="FA23:FE23"/>
    <mergeCell ref="FF23:FH23"/>
    <mergeCell ref="FI23:FM23"/>
    <mergeCell ref="FN23:FR23"/>
    <mergeCell ref="ES24:ET24"/>
    <mergeCell ref="EU24:EV24"/>
    <mergeCell ref="EW24:EX24"/>
    <mergeCell ref="EY24:EZ24"/>
    <mergeCell ref="FA24:FE24"/>
    <mergeCell ref="FF24:FH24"/>
    <mergeCell ref="FI24:FM24"/>
    <mergeCell ref="FN24:FR24"/>
    <mergeCell ref="AZ10:BD10"/>
    <mergeCell ref="BE10:BI10"/>
    <mergeCell ref="DE22:DI22"/>
    <mergeCell ref="DE23:DI23"/>
    <mergeCell ref="DE24:DI24"/>
    <mergeCell ref="BR17:BS17"/>
    <mergeCell ref="BT17:BX17"/>
    <mergeCell ref="BY17:CA17"/>
    <mergeCell ref="BL18:BM18"/>
    <mergeCell ref="BN18:BO18"/>
    <mergeCell ref="BP18:BQ18"/>
    <mergeCell ref="BR18:BS18"/>
    <mergeCell ref="BT18:BX18"/>
    <mergeCell ref="BY18:CA18"/>
    <mergeCell ref="BR15:BS15"/>
    <mergeCell ref="BT15:BX15"/>
    <mergeCell ref="AZ33:BD33"/>
    <mergeCell ref="BE33:BI33"/>
    <mergeCell ref="AZ29:BD29"/>
    <mergeCell ref="BE29:BI29"/>
    <mergeCell ref="AJ30:AK30"/>
    <mergeCell ref="AL30:AM30"/>
    <mergeCell ref="AN30:AO30"/>
    <mergeCell ref="AP30:AQ30"/>
    <mergeCell ref="AR30:AV30"/>
    <mergeCell ref="AW30:AY30"/>
    <mergeCell ref="AW28:AY28"/>
    <mergeCell ref="AR24:AV24"/>
    <mergeCell ref="AJ27:AK27"/>
    <mergeCell ref="AL27:AM27"/>
    <mergeCell ref="AN27:AO27"/>
    <mergeCell ref="AP27:AQ27"/>
    <mergeCell ref="AR27:AV27"/>
    <mergeCell ref="AW27:AY27"/>
    <mergeCell ref="AJ25:AK25"/>
    <mergeCell ref="AL25:AM25"/>
    <mergeCell ref="AN25:AO25"/>
    <mergeCell ref="AP25:AQ25"/>
    <mergeCell ref="AR25:AV25"/>
    <mergeCell ref="AW25:AY25"/>
    <mergeCell ref="AJ26:AK26"/>
    <mergeCell ref="AL26:AM26"/>
    <mergeCell ref="AN26:AO26"/>
    <mergeCell ref="AZ32:BD32"/>
    <mergeCell ref="BE32:BI32"/>
    <mergeCell ref="AJ29:AK29"/>
    <mergeCell ref="AJ28:AK28"/>
    <mergeCell ref="AL29:AM29"/>
  </mergeCells>
  <phoneticPr fontId="13" type="noConversion"/>
  <hyperlinks>
    <hyperlink ref="B1" location="'Network diagram'!Print_Titles" display="Back" xr:uid="{8F6E3BB4-0914-4574-8FDE-843609DDC00E}"/>
    <hyperlink ref="AJ1" location="'Network diagram'!Print_Titles" display="Back" xr:uid="{3A7902C9-0EC2-41AF-8C00-2DB0506F7D98}"/>
    <hyperlink ref="BL1" location="'Network diagram'!Print_Titles" display="Back" xr:uid="{C9159A59-E616-4BDA-A9DD-9EF1965F72BC}"/>
    <hyperlink ref="CO1" location="'Network diagram'!Print_Titles" display="Back" xr:uid="{48A35D7C-A50B-4EED-A5ED-8E724F349988}"/>
    <hyperlink ref="DQ1" location="'Network diagram'!Print_Titles" display="Back" xr:uid="{1970A4A5-561C-4104-B1EA-343F9C2591AC}"/>
    <hyperlink ref="ES1" location="'Network diagram'!Print_Titles" display="Back" xr:uid="{FDAA2873-5C8F-44FF-A9B2-E4374BA5F810}"/>
  </hyperlinks>
  <printOptions horizontalCentered="1"/>
  <pageMargins left="0.25" right="0.2" top="0.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D243-94A5-4FA7-9AB2-FC939EE1DC79}">
  <dimension ref="A1:C62"/>
  <sheetViews>
    <sheetView topLeftCell="A20" workbookViewId="0">
      <selection activeCell="F35" sqref="F35"/>
    </sheetView>
  </sheetViews>
  <sheetFormatPr defaultColWidth="9" defaultRowHeight="15"/>
  <cols>
    <col min="1" max="1" width="14.42578125" bestFit="1" customWidth="1"/>
    <col min="2" max="2" width="12.5703125" style="51" bestFit="1" customWidth="1"/>
    <col min="3" max="3" width="40.5703125" bestFit="1" customWidth="1"/>
  </cols>
  <sheetData>
    <row r="1" spans="1:3">
      <c r="A1" s="53" t="s">
        <v>486</v>
      </c>
      <c r="B1" s="52" t="s">
        <v>488</v>
      </c>
      <c r="C1" s="53" t="s">
        <v>487</v>
      </c>
    </row>
    <row r="2" spans="1:3">
      <c r="A2" s="59" t="s">
        <v>408</v>
      </c>
      <c r="B2" s="55">
        <v>1</v>
      </c>
      <c r="C2" s="59" t="s">
        <v>409</v>
      </c>
    </row>
    <row r="3" spans="1:3">
      <c r="A3" s="59" t="s">
        <v>410</v>
      </c>
      <c r="B3" s="55">
        <v>2</v>
      </c>
      <c r="C3" s="59" t="s">
        <v>411</v>
      </c>
    </row>
    <row r="4" spans="1:3">
      <c r="A4" s="59" t="s">
        <v>412</v>
      </c>
      <c r="B4" s="55">
        <v>3</v>
      </c>
      <c r="C4" s="59" t="s">
        <v>413</v>
      </c>
    </row>
    <row r="5" spans="1:3">
      <c r="A5" s="59" t="s">
        <v>414</v>
      </c>
      <c r="B5" s="55">
        <v>4</v>
      </c>
      <c r="C5" s="59" t="s">
        <v>415</v>
      </c>
    </row>
    <row r="6" spans="1:3">
      <c r="A6" s="59" t="s">
        <v>416</v>
      </c>
      <c r="B6" s="55">
        <v>5</v>
      </c>
      <c r="C6" s="59" t="s">
        <v>417</v>
      </c>
    </row>
    <row r="7" spans="1:3">
      <c r="A7" s="59" t="s">
        <v>418</v>
      </c>
      <c r="B7" s="55">
        <v>6</v>
      </c>
      <c r="C7" s="59" t="s">
        <v>419</v>
      </c>
    </row>
    <row r="8" spans="1:3">
      <c r="A8" s="59" t="s">
        <v>420</v>
      </c>
      <c r="B8" s="55">
        <v>7</v>
      </c>
      <c r="C8" s="59" t="s">
        <v>421</v>
      </c>
    </row>
    <row r="9" spans="1:3">
      <c r="A9" s="59" t="s">
        <v>422</v>
      </c>
      <c r="B9" s="55">
        <v>8</v>
      </c>
      <c r="C9" s="59" t="s">
        <v>417</v>
      </c>
    </row>
    <row r="10" spans="1:3">
      <c r="A10" s="59" t="s">
        <v>423</v>
      </c>
      <c r="B10" s="55">
        <v>9</v>
      </c>
      <c r="C10" s="59" t="s">
        <v>424</v>
      </c>
    </row>
    <row r="11" spans="1:3">
      <c r="A11" s="59" t="s">
        <v>425</v>
      </c>
      <c r="B11" s="55">
        <v>10</v>
      </c>
      <c r="C11" s="59" t="s">
        <v>426</v>
      </c>
    </row>
    <row r="12" spans="1:3">
      <c r="A12" s="59" t="s">
        <v>427</v>
      </c>
      <c r="B12" s="55">
        <v>11</v>
      </c>
      <c r="C12" s="59" t="s">
        <v>428</v>
      </c>
    </row>
    <row r="13" spans="1:3">
      <c r="A13" s="59" t="s">
        <v>429</v>
      </c>
      <c r="B13" s="55">
        <v>12</v>
      </c>
      <c r="C13" s="59" t="s">
        <v>428</v>
      </c>
    </row>
    <row r="14" spans="1:3">
      <c r="A14" s="59" t="s">
        <v>430</v>
      </c>
      <c r="B14" s="55">
        <v>13</v>
      </c>
      <c r="C14" s="59" t="s">
        <v>431</v>
      </c>
    </row>
    <row r="15" spans="1:3">
      <c r="A15" s="59" t="s">
        <v>432</v>
      </c>
      <c r="B15" s="55">
        <v>14</v>
      </c>
      <c r="C15" s="59" t="s">
        <v>428</v>
      </c>
    </row>
    <row r="16" spans="1:3">
      <c r="A16" s="59" t="s">
        <v>433</v>
      </c>
      <c r="B16" s="55">
        <v>15</v>
      </c>
      <c r="C16" s="59" t="s">
        <v>434</v>
      </c>
    </row>
    <row r="17" spans="1:3">
      <c r="A17" s="59" t="s">
        <v>435</v>
      </c>
      <c r="B17" s="55">
        <v>16</v>
      </c>
      <c r="C17" s="59" t="s">
        <v>428</v>
      </c>
    </row>
    <row r="18" spans="1:3">
      <c r="A18" s="59" t="s">
        <v>436</v>
      </c>
      <c r="B18" s="55">
        <v>17</v>
      </c>
      <c r="C18" s="59" t="s">
        <v>437</v>
      </c>
    </row>
    <row r="19" spans="1:3">
      <c r="A19" s="59" t="s">
        <v>438</v>
      </c>
      <c r="B19" s="55">
        <v>18</v>
      </c>
      <c r="C19" s="59" t="s">
        <v>421</v>
      </c>
    </row>
    <row r="20" spans="1:3">
      <c r="A20" s="59" t="s">
        <v>439</v>
      </c>
      <c r="B20" s="55">
        <v>19</v>
      </c>
      <c r="C20" s="59" t="s">
        <v>440</v>
      </c>
    </row>
    <row r="21" spans="1:3">
      <c r="A21" s="59" t="s">
        <v>441</v>
      </c>
      <c r="B21" s="55">
        <v>20</v>
      </c>
      <c r="C21" s="59" t="s">
        <v>442</v>
      </c>
    </row>
    <row r="22" spans="1:3">
      <c r="A22" s="59" t="s">
        <v>443</v>
      </c>
      <c r="B22" s="55">
        <v>21</v>
      </c>
      <c r="C22" s="59" t="s">
        <v>421</v>
      </c>
    </row>
    <row r="23" spans="1:3">
      <c r="A23" s="59" t="s">
        <v>444</v>
      </c>
      <c r="B23" s="55">
        <v>22</v>
      </c>
      <c r="C23" s="59" t="s">
        <v>431</v>
      </c>
    </row>
    <row r="24" spans="1:3">
      <c r="A24" s="59" t="s">
        <v>445</v>
      </c>
      <c r="B24" s="55">
        <v>23</v>
      </c>
      <c r="C24" s="59" t="s">
        <v>446</v>
      </c>
    </row>
    <row r="25" spans="1:3">
      <c r="A25" s="59" t="s">
        <v>447</v>
      </c>
      <c r="B25" s="55">
        <v>24</v>
      </c>
      <c r="C25" s="59" t="s">
        <v>448</v>
      </c>
    </row>
    <row r="26" spans="1:3">
      <c r="A26" s="59" t="s">
        <v>449</v>
      </c>
      <c r="B26" s="55">
        <v>25</v>
      </c>
      <c r="C26" s="59" t="s">
        <v>428</v>
      </c>
    </row>
    <row r="27" spans="1:3">
      <c r="A27" s="59" t="s">
        <v>450</v>
      </c>
      <c r="B27" s="55">
        <v>26</v>
      </c>
      <c r="C27" s="59" t="s">
        <v>451</v>
      </c>
    </row>
    <row r="28" spans="1:3">
      <c r="A28" s="59" t="s">
        <v>452</v>
      </c>
      <c r="B28" s="55">
        <v>27</v>
      </c>
      <c r="C28" s="59" t="s">
        <v>453</v>
      </c>
    </row>
    <row r="29" spans="1:3">
      <c r="A29" s="59" t="s">
        <v>454</v>
      </c>
      <c r="B29" s="55">
        <v>28</v>
      </c>
      <c r="C29" s="59" t="s">
        <v>455</v>
      </c>
    </row>
    <row r="30" spans="1:3">
      <c r="A30" s="59" t="s">
        <v>456</v>
      </c>
      <c r="B30" s="55">
        <v>29</v>
      </c>
      <c r="C30" s="59" t="s">
        <v>457</v>
      </c>
    </row>
    <row r="31" spans="1:3">
      <c r="A31" s="59" t="s">
        <v>458</v>
      </c>
      <c r="B31" s="55">
        <v>30</v>
      </c>
      <c r="C31" s="59" t="s">
        <v>459</v>
      </c>
    </row>
    <row r="32" spans="1:3">
      <c r="A32" s="59" t="s">
        <v>460</v>
      </c>
      <c r="B32" s="55">
        <v>31</v>
      </c>
      <c r="C32" s="59" t="s">
        <v>455</v>
      </c>
    </row>
    <row r="33" spans="1:3">
      <c r="A33" s="59" t="s">
        <v>461</v>
      </c>
      <c r="B33" s="55">
        <v>32</v>
      </c>
      <c r="C33" s="59" t="s">
        <v>462</v>
      </c>
    </row>
    <row r="34" spans="1:3">
      <c r="A34" s="59" t="s">
        <v>463</v>
      </c>
      <c r="B34" s="55">
        <v>33</v>
      </c>
      <c r="C34" s="59" t="s">
        <v>455</v>
      </c>
    </row>
    <row r="35" spans="1:3">
      <c r="A35" s="59" t="s">
        <v>464</v>
      </c>
      <c r="B35" s="55">
        <v>34</v>
      </c>
      <c r="C35" s="59" t="s">
        <v>465</v>
      </c>
    </row>
    <row r="36" spans="1:3">
      <c r="A36" s="59" t="s">
        <v>466</v>
      </c>
      <c r="B36" s="55">
        <v>35</v>
      </c>
      <c r="C36" s="59" t="s">
        <v>467</v>
      </c>
    </row>
    <row r="37" spans="1:3">
      <c r="A37" s="59" t="s">
        <v>468</v>
      </c>
      <c r="B37" s="55">
        <v>36</v>
      </c>
      <c r="C37" s="59" t="s">
        <v>469</v>
      </c>
    </row>
    <row r="38" spans="1:3">
      <c r="A38" s="59" t="s">
        <v>470</v>
      </c>
      <c r="B38" s="55">
        <v>37</v>
      </c>
      <c r="C38" s="59" t="s">
        <v>471</v>
      </c>
    </row>
    <row r="39" spans="1:3">
      <c r="A39" s="59" t="s">
        <v>472</v>
      </c>
      <c r="B39" s="55">
        <v>38</v>
      </c>
      <c r="C39" s="59" t="s">
        <v>473</v>
      </c>
    </row>
    <row r="40" spans="1:3">
      <c r="A40" s="59" t="s">
        <v>474</v>
      </c>
      <c r="B40" s="55">
        <v>39</v>
      </c>
      <c r="C40" s="59" t="s">
        <v>475</v>
      </c>
    </row>
    <row r="41" spans="1:3">
      <c r="A41" s="59" t="s">
        <v>476</v>
      </c>
      <c r="B41" s="55">
        <v>40</v>
      </c>
      <c r="C41" s="59" t="s">
        <v>477</v>
      </c>
    </row>
    <row r="42" spans="1:3">
      <c r="A42" s="59" t="s">
        <v>478</v>
      </c>
      <c r="B42" s="55">
        <v>41</v>
      </c>
      <c r="C42" s="59" t="s">
        <v>479</v>
      </c>
    </row>
    <row r="43" spans="1:3">
      <c r="A43" s="59" t="s">
        <v>480</v>
      </c>
      <c r="B43" s="55">
        <v>42</v>
      </c>
      <c r="C43" s="59" t="s">
        <v>481</v>
      </c>
    </row>
    <row r="44" spans="1:3">
      <c r="A44" s="59" t="s">
        <v>482</v>
      </c>
      <c r="B44" s="55">
        <v>43</v>
      </c>
      <c r="C44" s="59" t="s">
        <v>483</v>
      </c>
    </row>
    <row r="45" spans="1:3">
      <c r="A45" s="59" t="s">
        <v>484</v>
      </c>
      <c r="B45" s="55">
        <v>44</v>
      </c>
      <c r="C45" s="59" t="s">
        <v>485</v>
      </c>
    </row>
    <row r="46" spans="1:3">
      <c r="A46" s="59" t="s">
        <v>489</v>
      </c>
      <c r="B46" s="55">
        <v>45</v>
      </c>
      <c r="C46" s="59" t="s">
        <v>490</v>
      </c>
    </row>
    <row r="47" spans="1:3">
      <c r="A47" s="59" t="s">
        <v>491</v>
      </c>
      <c r="B47" s="55">
        <v>46</v>
      </c>
      <c r="C47" s="59" t="s">
        <v>492</v>
      </c>
    </row>
    <row r="48" spans="1:3">
      <c r="A48" s="59" t="s">
        <v>493</v>
      </c>
      <c r="B48" s="55">
        <v>47</v>
      </c>
      <c r="C48" s="59" t="s">
        <v>494</v>
      </c>
    </row>
    <row r="49" spans="1:3">
      <c r="A49" s="59" t="s">
        <v>495</v>
      </c>
      <c r="B49" s="55">
        <v>48</v>
      </c>
      <c r="C49" s="59" t="s">
        <v>496</v>
      </c>
    </row>
    <row r="50" spans="1:3">
      <c r="B50" s="55">
        <v>49</v>
      </c>
      <c r="C50" s="59" t="s">
        <v>538</v>
      </c>
    </row>
    <row r="51" spans="1:3">
      <c r="B51" s="55">
        <v>50</v>
      </c>
      <c r="C51" s="59" t="s">
        <v>539</v>
      </c>
    </row>
    <row r="52" spans="1:3">
      <c r="B52" s="55">
        <v>51</v>
      </c>
      <c r="C52" s="59" t="s">
        <v>540</v>
      </c>
    </row>
    <row r="53" spans="1:3">
      <c r="B53" s="55">
        <v>52</v>
      </c>
      <c r="C53" s="59" t="s">
        <v>541</v>
      </c>
    </row>
    <row r="54" spans="1:3">
      <c r="B54" s="55">
        <v>53</v>
      </c>
      <c r="C54" s="59" t="s">
        <v>536</v>
      </c>
    </row>
    <row r="55" spans="1:3">
      <c r="B55" s="55">
        <v>54</v>
      </c>
      <c r="C55" s="59" t="s">
        <v>542</v>
      </c>
    </row>
    <row r="56" spans="1:3">
      <c r="B56" s="55">
        <v>55</v>
      </c>
      <c r="C56" s="59" t="s">
        <v>543</v>
      </c>
    </row>
    <row r="57" spans="1:3">
      <c r="B57" s="55">
        <v>56</v>
      </c>
      <c r="C57" s="59" t="s">
        <v>544</v>
      </c>
    </row>
    <row r="58" spans="1:3">
      <c r="B58" s="55">
        <v>57</v>
      </c>
      <c r="C58" s="59" t="s">
        <v>545</v>
      </c>
    </row>
    <row r="59" spans="1:3">
      <c r="B59" s="55">
        <v>58</v>
      </c>
      <c r="C59" s="59" t="s">
        <v>546</v>
      </c>
    </row>
    <row r="60" spans="1:3">
      <c r="A60" t="s">
        <v>547</v>
      </c>
      <c r="B60" s="55">
        <v>59</v>
      </c>
      <c r="C60" s="59" t="s">
        <v>537</v>
      </c>
    </row>
    <row r="61" spans="1:3">
      <c r="A61" s="53" t="s">
        <v>552</v>
      </c>
      <c r="B61" s="55">
        <v>60</v>
      </c>
      <c r="C61" s="65" t="s">
        <v>551</v>
      </c>
    </row>
    <row r="62" spans="1:3">
      <c r="A62" s="53" t="s">
        <v>549</v>
      </c>
      <c r="B62" s="55">
        <v>61</v>
      </c>
      <c r="C62" s="59" t="s">
        <v>550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92A6-3DC2-4E46-ADBA-216D94FF03CA}">
  <dimension ref="A1:B1792"/>
  <sheetViews>
    <sheetView tabSelected="1" workbookViewId="0">
      <selection activeCell="C16" sqref="C16:C17"/>
    </sheetView>
  </sheetViews>
  <sheetFormatPr defaultRowHeight="15"/>
  <cols>
    <col min="2" max="2" width="65" style="254" customWidth="1"/>
  </cols>
  <sheetData>
    <row r="1" spans="1:2">
      <c r="A1" s="252" t="s">
        <v>553</v>
      </c>
      <c r="B1" s="255" t="s">
        <v>563</v>
      </c>
    </row>
    <row r="2" spans="1:2">
      <c r="A2" s="252" t="s">
        <v>553</v>
      </c>
      <c r="B2" s="253">
        <v>45709.48296296296</v>
      </c>
    </row>
    <row r="3" spans="1:2">
      <c r="A3" s="252" t="s">
        <v>555</v>
      </c>
      <c r="B3" s="253">
        <v>45709.482951388891</v>
      </c>
    </row>
    <row r="4" spans="1:2">
      <c r="A4" s="252" t="s">
        <v>557</v>
      </c>
      <c r="B4" s="253">
        <v>45709.482951388891</v>
      </c>
    </row>
    <row r="5" spans="1:2">
      <c r="A5" s="252" t="s">
        <v>560</v>
      </c>
      <c r="B5" s="253">
        <v>45709.482951388891</v>
      </c>
    </row>
    <row r="6" spans="1:2">
      <c r="A6" s="252" t="s">
        <v>562</v>
      </c>
      <c r="B6" s="253">
        <v>45709.482951388891</v>
      </c>
    </row>
    <row r="7" spans="1:2">
      <c r="A7" s="252" t="s">
        <v>554</v>
      </c>
      <c r="B7" s="255">
        <v>45709.482951388891</v>
      </c>
    </row>
    <row r="8" spans="1:2">
      <c r="A8" s="252" t="s">
        <v>561</v>
      </c>
      <c r="B8" s="253">
        <v>45709.482951388891</v>
      </c>
    </row>
    <row r="9" spans="1:2">
      <c r="A9" s="252" t="s">
        <v>556</v>
      </c>
      <c r="B9" s="253">
        <v>45709.482951388891</v>
      </c>
    </row>
    <row r="10" spans="1:2">
      <c r="A10" s="252" t="s">
        <v>559</v>
      </c>
      <c r="B10" s="253">
        <v>45709.482951388891</v>
      </c>
    </row>
    <row r="11" spans="1:2">
      <c r="A11" s="252" t="s">
        <v>558</v>
      </c>
      <c r="B11" s="253">
        <v>45709.482951388891</v>
      </c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  <row r="1675" spans="2:2">
      <c r="B1675"/>
    </row>
    <row r="1676" spans="2:2">
      <c r="B1676"/>
    </row>
    <row r="1677" spans="2:2">
      <c r="B1677"/>
    </row>
    <row r="1678" spans="2:2">
      <c r="B1678"/>
    </row>
    <row r="1679" spans="2:2">
      <c r="B1679"/>
    </row>
    <row r="1680" spans="2:2">
      <c r="B1680"/>
    </row>
    <row r="1681" spans="2:2">
      <c r="B1681"/>
    </row>
    <row r="1682" spans="2:2">
      <c r="B1682"/>
    </row>
    <row r="1683" spans="2:2">
      <c r="B1683"/>
    </row>
    <row r="1684" spans="2:2">
      <c r="B1684"/>
    </row>
    <row r="1685" spans="2:2">
      <c r="B1685"/>
    </row>
    <row r="1686" spans="2:2">
      <c r="B1686"/>
    </row>
    <row r="1687" spans="2:2">
      <c r="B1687"/>
    </row>
    <row r="1688" spans="2:2">
      <c r="B1688"/>
    </row>
    <row r="1689" spans="2:2">
      <c r="B1689"/>
    </row>
    <row r="1690" spans="2:2">
      <c r="B1690"/>
    </row>
    <row r="1691" spans="2:2">
      <c r="B1691"/>
    </row>
    <row r="1692" spans="2:2">
      <c r="B1692"/>
    </row>
    <row r="1693" spans="2:2">
      <c r="B1693"/>
    </row>
    <row r="1694" spans="2:2">
      <c r="B1694"/>
    </row>
    <row r="1695" spans="2:2">
      <c r="B1695"/>
    </row>
    <row r="1696" spans="2:2">
      <c r="B1696"/>
    </row>
    <row r="1697" spans="2:2">
      <c r="B1697"/>
    </row>
    <row r="1698" spans="2:2">
      <c r="B1698"/>
    </row>
    <row r="1699" spans="2:2">
      <c r="B1699"/>
    </row>
    <row r="1700" spans="2:2">
      <c r="B1700"/>
    </row>
    <row r="1701" spans="2:2">
      <c r="B1701"/>
    </row>
    <row r="1702" spans="2:2">
      <c r="B1702"/>
    </row>
    <row r="1703" spans="2:2">
      <c r="B1703"/>
    </row>
    <row r="1704" spans="2:2">
      <c r="B1704"/>
    </row>
    <row r="1705" spans="2:2">
      <c r="B1705"/>
    </row>
    <row r="1706" spans="2:2">
      <c r="B1706"/>
    </row>
    <row r="1707" spans="2:2">
      <c r="B1707"/>
    </row>
    <row r="1708" spans="2:2">
      <c r="B1708"/>
    </row>
    <row r="1709" spans="2:2">
      <c r="B1709"/>
    </row>
    <row r="1710" spans="2:2">
      <c r="B1710"/>
    </row>
    <row r="1711" spans="2:2">
      <c r="B1711"/>
    </row>
    <row r="1712" spans="2:2">
      <c r="B1712"/>
    </row>
    <row r="1713" spans="2:2">
      <c r="B1713"/>
    </row>
    <row r="1714" spans="2:2">
      <c r="B1714"/>
    </row>
    <row r="1715" spans="2:2">
      <c r="B1715"/>
    </row>
    <row r="1716" spans="2:2">
      <c r="B1716"/>
    </row>
    <row r="1717" spans="2:2">
      <c r="B1717"/>
    </row>
    <row r="1718" spans="2:2">
      <c r="B1718"/>
    </row>
    <row r="1719" spans="2:2">
      <c r="B1719"/>
    </row>
    <row r="1720" spans="2:2">
      <c r="B1720"/>
    </row>
    <row r="1721" spans="2:2">
      <c r="B1721"/>
    </row>
    <row r="1722" spans="2:2">
      <c r="B1722"/>
    </row>
    <row r="1723" spans="2:2">
      <c r="B1723"/>
    </row>
    <row r="1724" spans="2:2">
      <c r="B1724"/>
    </row>
    <row r="1725" spans="2:2">
      <c r="B1725"/>
    </row>
    <row r="1726" spans="2:2">
      <c r="B1726"/>
    </row>
    <row r="1727" spans="2:2">
      <c r="B1727"/>
    </row>
    <row r="1728" spans="2:2">
      <c r="B1728"/>
    </row>
    <row r="1729" spans="2:2">
      <c r="B1729"/>
    </row>
    <row r="1730" spans="2:2">
      <c r="B1730"/>
    </row>
    <row r="1731" spans="2:2">
      <c r="B1731"/>
    </row>
    <row r="1732" spans="2:2">
      <c r="B1732"/>
    </row>
    <row r="1733" spans="2:2">
      <c r="B1733"/>
    </row>
    <row r="1734" spans="2:2">
      <c r="B1734"/>
    </row>
    <row r="1735" spans="2:2">
      <c r="B1735"/>
    </row>
    <row r="1736" spans="2:2">
      <c r="B1736"/>
    </row>
    <row r="1737" spans="2:2">
      <c r="B1737"/>
    </row>
    <row r="1738" spans="2:2">
      <c r="B1738"/>
    </row>
    <row r="1739" spans="2:2">
      <c r="B1739"/>
    </row>
    <row r="1740" spans="2:2">
      <c r="B1740"/>
    </row>
    <row r="1741" spans="2:2">
      <c r="B1741"/>
    </row>
    <row r="1742" spans="2:2">
      <c r="B1742"/>
    </row>
    <row r="1743" spans="2:2">
      <c r="B1743"/>
    </row>
    <row r="1744" spans="2:2">
      <c r="B1744"/>
    </row>
    <row r="1745" spans="2:2">
      <c r="B1745"/>
    </row>
    <row r="1746" spans="2:2">
      <c r="B1746"/>
    </row>
    <row r="1747" spans="2:2">
      <c r="B1747"/>
    </row>
    <row r="1748" spans="2:2">
      <c r="B1748"/>
    </row>
    <row r="1749" spans="2:2">
      <c r="B1749"/>
    </row>
    <row r="1750" spans="2:2">
      <c r="B1750"/>
    </row>
    <row r="1751" spans="2:2">
      <c r="B1751"/>
    </row>
    <row r="1752" spans="2:2">
      <c r="B1752"/>
    </row>
    <row r="1753" spans="2:2">
      <c r="B1753"/>
    </row>
    <row r="1754" spans="2:2">
      <c r="B1754"/>
    </row>
    <row r="1755" spans="2:2">
      <c r="B1755"/>
    </row>
    <row r="1756" spans="2:2">
      <c r="B1756"/>
    </row>
    <row r="1757" spans="2:2">
      <c r="B1757"/>
    </row>
    <row r="1758" spans="2:2">
      <c r="B1758"/>
    </row>
    <row r="1759" spans="2:2">
      <c r="B1759"/>
    </row>
    <row r="1760" spans="2:2">
      <c r="B1760"/>
    </row>
    <row r="1761" spans="2:2">
      <c r="B1761"/>
    </row>
    <row r="1762" spans="2:2">
      <c r="B1762"/>
    </row>
    <row r="1763" spans="2:2">
      <c r="B1763"/>
    </row>
    <row r="1764" spans="2:2">
      <c r="B1764"/>
    </row>
    <row r="1765" spans="2:2">
      <c r="B1765"/>
    </row>
    <row r="1766" spans="2:2">
      <c r="B1766"/>
    </row>
    <row r="1767" spans="2:2">
      <c r="B1767"/>
    </row>
    <row r="1768" spans="2:2">
      <c r="B1768"/>
    </row>
    <row r="1769" spans="2:2">
      <c r="B1769"/>
    </row>
    <row r="1770" spans="2:2">
      <c r="B1770"/>
    </row>
    <row r="1771" spans="2:2">
      <c r="B1771"/>
    </row>
    <row r="1772" spans="2:2">
      <c r="B1772"/>
    </row>
    <row r="1773" spans="2:2">
      <c r="B1773"/>
    </row>
    <row r="1774" spans="2:2">
      <c r="B1774"/>
    </row>
    <row r="1775" spans="2:2">
      <c r="B1775"/>
    </row>
    <row r="1776" spans="2:2">
      <c r="B1776"/>
    </row>
    <row r="1777" spans="2:2">
      <c r="B1777"/>
    </row>
    <row r="1778" spans="2:2">
      <c r="B1778"/>
    </row>
    <row r="1779" spans="2:2">
      <c r="B1779"/>
    </row>
    <row r="1780" spans="2:2">
      <c r="B1780"/>
    </row>
    <row r="1781" spans="2:2">
      <c r="B1781"/>
    </row>
    <row r="1782" spans="2:2">
      <c r="B1782"/>
    </row>
    <row r="1783" spans="2:2">
      <c r="B1783"/>
    </row>
    <row r="1784" spans="2:2">
      <c r="B1784"/>
    </row>
    <row r="1785" spans="2:2">
      <c r="B1785"/>
    </row>
    <row r="1786" spans="2:2">
      <c r="B1786"/>
    </row>
    <row r="1787" spans="2:2">
      <c r="B1787"/>
    </row>
    <row r="1788" spans="2:2">
      <c r="B1788"/>
    </row>
    <row r="1789" spans="2:2">
      <c r="B1789"/>
    </row>
    <row r="1790" spans="2:2">
      <c r="B1790"/>
    </row>
    <row r="1791" spans="2:2">
      <c r="B1791"/>
    </row>
    <row r="1792" spans="2:2">
      <c r="B179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A336-D8F5-43D1-A4AB-3B4E8838315B}">
  <dimension ref="A2:I261"/>
  <sheetViews>
    <sheetView topLeftCell="A61" workbookViewId="0">
      <selection activeCell="R22" sqref="R21:R22"/>
    </sheetView>
  </sheetViews>
  <sheetFormatPr defaultRowHeight="15"/>
  <cols>
    <col min="1" max="1" width="14.5703125" customWidth="1"/>
    <col min="2" max="2" width="9.7109375" style="51" bestFit="1" customWidth="1"/>
    <col min="3" max="3" width="10.140625" style="51" bestFit="1" customWidth="1"/>
    <col min="4" max="4" width="9.140625" style="51"/>
  </cols>
  <sheetData>
    <row r="2" spans="1:5">
      <c r="B2" s="52" t="s">
        <v>361</v>
      </c>
    </row>
    <row r="3" spans="1:5">
      <c r="A3" s="54" t="s">
        <v>362</v>
      </c>
      <c r="B3" s="55" t="s">
        <v>11</v>
      </c>
      <c r="C3" s="55" t="s">
        <v>15</v>
      </c>
      <c r="D3" s="55" t="s">
        <v>16</v>
      </c>
    </row>
    <row r="4" spans="1:5">
      <c r="A4" s="56" t="s">
        <v>363</v>
      </c>
      <c r="B4" s="56">
        <v>16</v>
      </c>
      <c r="C4" s="56">
        <v>0</v>
      </c>
      <c r="D4" s="56" t="s">
        <v>364</v>
      </c>
      <c r="E4" s="51"/>
    </row>
    <row r="5" spans="1:5">
      <c r="A5" s="56" t="s">
        <v>365</v>
      </c>
      <c r="B5" s="56">
        <v>16</v>
      </c>
      <c r="C5" s="56">
        <v>0</v>
      </c>
      <c r="D5" s="56" t="s">
        <v>364</v>
      </c>
      <c r="E5" s="51"/>
    </row>
    <row r="6" spans="1:5">
      <c r="A6" s="56" t="s">
        <v>366</v>
      </c>
      <c r="B6" s="56">
        <v>128</v>
      </c>
      <c r="C6" s="56">
        <v>0</v>
      </c>
      <c r="D6" s="56" t="s">
        <v>367</v>
      </c>
      <c r="E6" s="51"/>
    </row>
    <row r="7" spans="1:5">
      <c r="A7" s="56" t="s">
        <v>368</v>
      </c>
      <c r="B7" s="56">
        <v>128</v>
      </c>
      <c r="C7" s="56">
        <v>0</v>
      </c>
      <c r="D7" s="56" t="s">
        <v>367</v>
      </c>
      <c r="E7" s="51"/>
    </row>
    <row r="8" spans="1:5">
      <c r="A8" s="56" t="s">
        <v>369</v>
      </c>
      <c r="B8" s="56">
        <v>8</v>
      </c>
      <c r="C8" s="56">
        <v>0</v>
      </c>
      <c r="D8" s="56">
        <v>7</v>
      </c>
      <c r="E8" s="51"/>
    </row>
    <row r="9" spans="1:5">
      <c r="A9" s="56" t="s">
        <v>370</v>
      </c>
      <c r="B9" s="56">
        <v>8</v>
      </c>
      <c r="C9" s="56">
        <v>0</v>
      </c>
      <c r="D9" s="56">
        <v>7</v>
      </c>
      <c r="E9" s="51"/>
    </row>
    <row r="10" spans="1:5">
      <c r="A10" s="56" t="s">
        <v>366</v>
      </c>
      <c r="B10" s="56">
        <v>160</v>
      </c>
      <c r="C10" s="56">
        <v>80</v>
      </c>
      <c r="D10" s="56" t="s">
        <v>371</v>
      </c>
      <c r="E10" s="51"/>
    </row>
    <row r="11" spans="1:5">
      <c r="A11" s="56" t="s">
        <v>368</v>
      </c>
      <c r="B11" s="56">
        <v>160</v>
      </c>
      <c r="C11" s="56">
        <v>80</v>
      </c>
      <c r="D11" s="56" t="s">
        <v>371</v>
      </c>
      <c r="E11" s="51"/>
    </row>
    <row r="12" spans="1:5">
      <c r="A12" s="56" t="s">
        <v>369</v>
      </c>
      <c r="B12" s="56">
        <v>48</v>
      </c>
      <c r="C12" s="56">
        <v>8</v>
      </c>
      <c r="D12" s="56">
        <v>37</v>
      </c>
      <c r="E12" s="51"/>
    </row>
    <row r="13" spans="1:5">
      <c r="A13" s="56" t="s">
        <v>370</v>
      </c>
      <c r="B13" s="56">
        <v>48</v>
      </c>
      <c r="C13" s="56">
        <v>8</v>
      </c>
      <c r="D13" s="56">
        <v>37</v>
      </c>
      <c r="E13" s="51"/>
    </row>
    <row r="14" spans="1:5">
      <c r="A14" s="56" t="s">
        <v>366</v>
      </c>
      <c r="B14" s="56">
        <v>128</v>
      </c>
      <c r="C14" s="56">
        <v>120</v>
      </c>
      <c r="D14" s="56" t="s">
        <v>372</v>
      </c>
      <c r="E14" s="51"/>
    </row>
    <row r="15" spans="1:5">
      <c r="A15" s="56" t="s">
        <v>368</v>
      </c>
      <c r="B15" s="56">
        <v>128</v>
      </c>
      <c r="C15" s="56">
        <v>120</v>
      </c>
      <c r="D15" s="56" t="s">
        <v>372</v>
      </c>
      <c r="E15" s="51"/>
    </row>
    <row r="16" spans="1:5">
      <c r="A16" s="56" t="s">
        <v>369</v>
      </c>
      <c r="B16" s="56">
        <v>8</v>
      </c>
      <c r="C16" s="56">
        <v>38</v>
      </c>
      <c r="D16" s="56" t="s">
        <v>373</v>
      </c>
      <c r="E16" s="51"/>
    </row>
    <row r="17" spans="1:5">
      <c r="A17" s="56" t="s">
        <v>370</v>
      </c>
      <c r="B17" s="56">
        <v>8</v>
      </c>
      <c r="C17" s="56">
        <v>38</v>
      </c>
      <c r="D17" s="56" t="s">
        <v>373</v>
      </c>
      <c r="E17" s="51"/>
    </row>
    <row r="18" spans="1:5">
      <c r="A18" s="56" t="s">
        <v>366</v>
      </c>
      <c r="B18" s="56">
        <v>160</v>
      </c>
      <c r="C18" s="56">
        <v>200</v>
      </c>
      <c r="D18" s="56" t="s">
        <v>374</v>
      </c>
      <c r="E18" s="51"/>
    </row>
    <row r="19" spans="1:5">
      <c r="A19" s="56" t="s">
        <v>368</v>
      </c>
      <c r="B19" s="56">
        <v>160</v>
      </c>
      <c r="C19" s="56">
        <v>200</v>
      </c>
      <c r="D19" s="56" t="s">
        <v>374</v>
      </c>
      <c r="E19" s="51"/>
    </row>
    <row r="20" spans="1:5">
      <c r="A20" s="56" t="s">
        <v>369</v>
      </c>
      <c r="B20" s="56">
        <v>48</v>
      </c>
      <c r="C20" s="56">
        <v>40</v>
      </c>
      <c r="D20" s="56" t="s">
        <v>375</v>
      </c>
      <c r="E20" s="51"/>
    </row>
    <row r="21" spans="1:5">
      <c r="A21" s="56" t="s">
        <v>370</v>
      </c>
      <c r="B21" s="56">
        <v>48</v>
      </c>
      <c r="C21" s="56">
        <v>40</v>
      </c>
      <c r="D21" s="56" t="s">
        <v>375</v>
      </c>
      <c r="E21" s="51"/>
    </row>
    <row r="22" spans="1:5">
      <c r="A22" s="56" t="s">
        <v>366</v>
      </c>
      <c r="B22" s="56">
        <v>128</v>
      </c>
      <c r="C22" s="56">
        <v>300</v>
      </c>
      <c r="D22" s="56" t="s">
        <v>376</v>
      </c>
      <c r="E22" s="51"/>
    </row>
    <row r="23" spans="1:5">
      <c r="A23" s="56" t="s">
        <v>368</v>
      </c>
      <c r="B23" s="56">
        <v>128</v>
      </c>
      <c r="C23" s="56">
        <v>300</v>
      </c>
      <c r="D23" s="56" t="s">
        <v>376</v>
      </c>
      <c r="E23" s="51"/>
    </row>
    <row r="24" spans="1:5">
      <c r="A24" s="56" t="s">
        <v>369</v>
      </c>
      <c r="B24" s="56">
        <v>8</v>
      </c>
      <c r="C24" s="56">
        <v>70</v>
      </c>
      <c r="D24" s="56">
        <v>77</v>
      </c>
      <c r="E24" s="51"/>
    </row>
    <row r="25" spans="1:5">
      <c r="A25" s="56" t="s">
        <v>370</v>
      </c>
      <c r="B25" s="56">
        <v>8</v>
      </c>
      <c r="C25" s="56">
        <v>70</v>
      </c>
      <c r="D25" s="56">
        <v>77</v>
      </c>
      <c r="E25" s="51"/>
    </row>
    <row r="26" spans="1:5">
      <c r="A26" s="56" t="s">
        <v>366</v>
      </c>
      <c r="B26" s="56">
        <v>160</v>
      </c>
      <c r="C26" s="56">
        <v>380</v>
      </c>
      <c r="D26" s="56" t="s">
        <v>377</v>
      </c>
      <c r="E26" s="51"/>
    </row>
    <row r="27" spans="1:5">
      <c r="A27" s="56" t="s">
        <v>368</v>
      </c>
      <c r="B27" s="56">
        <v>160</v>
      </c>
      <c r="C27" s="56">
        <v>380</v>
      </c>
      <c r="D27" s="56" t="s">
        <v>377</v>
      </c>
      <c r="E27" s="51"/>
    </row>
    <row r="28" spans="1:5">
      <c r="A28" s="56" t="s">
        <v>369</v>
      </c>
      <c r="B28" s="56">
        <v>48</v>
      </c>
      <c r="C28" s="56">
        <v>78</v>
      </c>
      <c r="D28" s="56" t="s">
        <v>378</v>
      </c>
      <c r="E28" s="51"/>
    </row>
    <row r="29" spans="1:5">
      <c r="A29" s="56" t="s">
        <v>370</v>
      </c>
      <c r="B29" s="56">
        <v>48</v>
      </c>
      <c r="C29" s="56">
        <v>78</v>
      </c>
      <c r="D29" s="56" t="s">
        <v>378</v>
      </c>
      <c r="E29" s="51"/>
    </row>
    <row r="30" spans="1:5">
      <c r="A30" s="56" t="s">
        <v>366</v>
      </c>
      <c r="B30" s="56">
        <v>128</v>
      </c>
      <c r="C30" s="56">
        <v>420</v>
      </c>
      <c r="D30" s="56" t="s">
        <v>379</v>
      </c>
      <c r="E30" s="51"/>
    </row>
    <row r="31" spans="1:5">
      <c r="A31" s="56" t="s">
        <v>368</v>
      </c>
      <c r="B31" s="56">
        <v>128</v>
      </c>
      <c r="C31" s="56">
        <v>420</v>
      </c>
      <c r="D31" s="56" t="s">
        <v>379</v>
      </c>
      <c r="E31" s="51"/>
    </row>
    <row r="32" spans="1:5">
      <c r="A32" s="56" t="s">
        <v>369</v>
      </c>
      <c r="B32" s="56">
        <v>8</v>
      </c>
      <c r="C32" s="56" t="s">
        <v>380</v>
      </c>
      <c r="D32" s="56" t="s">
        <v>381</v>
      </c>
      <c r="E32" s="51"/>
    </row>
    <row r="33" spans="1:9">
      <c r="A33" s="56" t="s">
        <v>370</v>
      </c>
      <c r="B33" s="56">
        <v>8</v>
      </c>
      <c r="C33" s="56" t="s">
        <v>380</v>
      </c>
      <c r="D33" s="56" t="s">
        <v>381</v>
      </c>
      <c r="E33" s="51"/>
    </row>
    <row r="34" spans="1:9">
      <c r="A34" s="56" t="s">
        <v>366</v>
      </c>
      <c r="B34" s="56">
        <v>160</v>
      </c>
      <c r="C34" s="56">
        <v>500</v>
      </c>
      <c r="D34" s="56" t="s">
        <v>382</v>
      </c>
      <c r="E34" s="51"/>
    </row>
    <row r="35" spans="1:9">
      <c r="A35" s="56" t="s">
        <v>368</v>
      </c>
      <c r="B35" s="56">
        <v>160</v>
      </c>
      <c r="C35" s="56">
        <v>500</v>
      </c>
      <c r="D35" s="56" t="s">
        <v>382</v>
      </c>
      <c r="E35" s="51"/>
    </row>
    <row r="36" spans="1:9">
      <c r="A36" s="56" t="s">
        <v>369</v>
      </c>
      <c r="B36" s="56">
        <v>48</v>
      </c>
      <c r="C36" s="56" t="s">
        <v>383</v>
      </c>
      <c r="D36" s="56" t="s">
        <v>384</v>
      </c>
      <c r="E36" s="51"/>
    </row>
    <row r="37" spans="1:9">
      <c r="A37" s="56" t="s">
        <v>370</v>
      </c>
      <c r="B37" s="56">
        <v>48</v>
      </c>
      <c r="C37" s="56" t="s">
        <v>383</v>
      </c>
      <c r="D37" s="56" t="s">
        <v>384</v>
      </c>
      <c r="E37" s="51"/>
    </row>
    <row r="38" spans="1:9">
      <c r="A38" s="51"/>
      <c r="E38" s="51"/>
      <c r="F38" s="51"/>
      <c r="G38" s="51"/>
      <c r="H38" s="51"/>
      <c r="I38" s="51"/>
    </row>
    <row r="39" spans="1:9">
      <c r="A39" s="51"/>
      <c r="E39" s="51"/>
      <c r="F39" s="51"/>
      <c r="G39" s="51"/>
      <c r="H39" s="51"/>
      <c r="I39" s="51"/>
    </row>
    <row r="40" spans="1:9">
      <c r="B40" s="53" t="s">
        <v>385</v>
      </c>
      <c r="C40"/>
      <c r="D40"/>
      <c r="E40" s="51"/>
      <c r="F40" s="51"/>
      <c r="G40" s="51"/>
      <c r="H40" s="51"/>
      <c r="I40" s="51"/>
    </row>
    <row r="41" spans="1:9">
      <c r="A41" s="55" t="s">
        <v>362</v>
      </c>
      <c r="B41" s="55" t="s">
        <v>11</v>
      </c>
      <c r="C41" s="55" t="s">
        <v>15</v>
      </c>
      <c r="D41" s="55" t="s">
        <v>16</v>
      </c>
      <c r="E41" s="51"/>
      <c r="F41" s="51"/>
      <c r="G41" s="51"/>
      <c r="H41" s="51"/>
      <c r="I41" s="51"/>
    </row>
    <row r="42" spans="1:9">
      <c r="A42" s="56" t="s">
        <v>363</v>
      </c>
      <c r="B42" s="56">
        <v>16</v>
      </c>
      <c r="C42" s="56">
        <v>0</v>
      </c>
      <c r="D42" s="56" t="s">
        <v>364</v>
      </c>
      <c r="E42" s="51"/>
      <c r="F42" s="51"/>
      <c r="G42" s="51"/>
      <c r="H42" s="51"/>
      <c r="I42" s="51"/>
    </row>
    <row r="43" spans="1:9">
      <c r="A43" s="56" t="s">
        <v>365</v>
      </c>
      <c r="B43" s="56">
        <v>16</v>
      </c>
      <c r="C43" s="56">
        <v>0</v>
      </c>
      <c r="D43" s="56" t="s">
        <v>364</v>
      </c>
      <c r="E43" s="51"/>
      <c r="F43" s="51"/>
      <c r="G43" s="51"/>
      <c r="H43" s="51"/>
      <c r="I43" s="51"/>
    </row>
    <row r="44" spans="1:9">
      <c r="A44" s="56" t="s">
        <v>25</v>
      </c>
      <c r="B44" s="56">
        <v>128</v>
      </c>
      <c r="C44" s="56">
        <v>0</v>
      </c>
      <c r="D44" s="56" t="s">
        <v>367</v>
      </c>
      <c r="E44" s="51"/>
      <c r="F44" s="51"/>
      <c r="G44" s="51"/>
      <c r="H44" s="51"/>
      <c r="I44" s="51"/>
    </row>
    <row r="45" spans="1:9">
      <c r="A45" s="56" t="s">
        <v>25</v>
      </c>
      <c r="B45" s="56">
        <v>128</v>
      </c>
      <c r="C45" s="56">
        <v>80</v>
      </c>
      <c r="D45" s="56" t="s">
        <v>386</v>
      </c>
      <c r="E45" s="51"/>
      <c r="F45" s="51"/>
      <c r="G45" s="51"/>
      <c r="H45" s="51"/>
      <c r="I45" s="51"/>
    </row>
    <row r="46" spans="1:9">
      <c r="A46" s="56" t="s">
        <v>28</v>
      </c>
      <c r="B46" s="56">
        <v>8</v>
      </c>
      <c r="C46" s="56">
        <v>0</v>
      </c>
      <c r="D46" s="56">
        <v>7</v>
      </c>
      <c r="E46" s="51"/>
      <c r="F46" s="51"/>
      <c r="G46" s="51"/>
      <c r="H46" s="51"/>
      <c r="I46" s="51"/>
    </row>
    <row r="47" spans="1:9">
      <c r="A47" s="56" t="s">
        <v>28</v>
      </c>
      <c r="B47" s="56">
        <v>8</v>
      </c>
      <c r="C47" s="56">
        <v>8</v>
      </c>
      <c r="D47" s="56" t="s">
        <v>364</v>
      </c>
      <c r="E47" s="51"/>
      <c r="F47" s="51"/>
      <c r="G47" s="51"/>
      <c r="H47" s="51"/>
      <c r="I47" s="51"/>
    </row>
    <row r="48" spans="1:9">
      <c r="A48" s="56" t="s">
        <v>25</v>
      </c>
      <c r="B48" s="56">
        <v>160</v>
      </c>
      <c r="C48" s="56">
        <v>100</v>
      </c>
      <c r="D48" s="56" t="s">
        <v>372</v>
      </c>
      <c r="E48" s="51"/>
      <c r="F48" s="51"/>
      <c r="G48" s="51"/>
      <c r="H48" s="51"/>
      <c r="I48" s="51"/>
    </row>
    <row r="49" spans="1:9">
      <c r="A49" s="56" t="s">
        <v>25</v>
      </c>
      <c r="B49" s="56">
        <v>160</v>
      </c>
      <c r="C49" s="56">
        <v>200</v>
      </c>
      <c r="D49" s="56" t="s">
        <v>374</v>
      </c>
      <c r="E49" s="51"/>
      <c r="F49" s="51"/>
      <c r="G49" s="51"/>
      <c r="H49" s="51"/>
      <c r="I49" s="51"/>
    </row>
    <row r="50" spans="1:9">
      <c r="A50" s="56" t="s">
        <v>28</v>
      </c>
      <c r="B50" s="56">
        <v>48</v>
      </c>
      <c r="C50" s="56">
        <v>10</v>
      </c>
      <c r="D50" s="56" t="s">
        <v>373</v>
      </c>
      <c r="E50" s="51"/>
      <c r="F50" s="51"/>
      <c r="G50" s="51"/>
      <c r="H50" s="51"/>
      <c r="I50" s="51"/>
    </row>
    <row r="51" spans="1:9">
      <c r="A51" s="56" t="s">
        <v>28</v>
      </c>
      <c r="B51" s="56">
        <v>48</v>
      </c>
      <c r="C51" s="56">
        <v>40</v>
      </c>
      <c r="D51" s="56" t="s">
        <v>375</v>
      </c>
      <c r="E51" s="51"/>
      <c r="F51" s="51"/>
      <c r="G51" s="51"/>
      <c r="H51" s="51"/>
      <c r="I51" s="51"/>
    </row>
    <row r="52" spans="1:9">
      <c r="A52" s="56" t="s">
        <v>25</v>
      </c>
      <c r="B52" s="56">
        <v>128</v>
      </c>
      <c r="C52" s="56">
        <v>300</v>
      </c>
      <c r="D52" s="56" t="s">
        <v>376</v>
      </c>
      <c r="E52" s="51"/>
      <c r="F52" s="51"/>
      <c r="G52" s="51"/>
      <c r="H52" s="51"/>
      <c r="I52" s="51"/>
    </row>
    <row r="53" spans="1:9">
      <c r="A53" s="56" t="s">
        <v>25</v>
      </c>
      <c r="B53" s="56">
        <v>128</v>
      </c>
      <c r="C53" s="56">
        <v>380</v>
      </c>
      <c r="D53" s="56" t="s">
        <v>387</v>
      </c>
      <c r="E53" s="51"/>
      <c r="F53" s="51"/>
      <c r="G53" s="51"/>
      <c r="H53" s="51"/>
      <c r="I53" s="51"/>
    </row>
    <row r="54" spans="1:9">
      <c r="A54" s="56" t="s">
        <v>28</v>
      </c>
      <c r="B54" s="56">
        <v>8</v>
      </c>
      <c r="C54" s="56">
        <v>70</v>
      </c>
      <c r="D54" s="56">
        <v>77</v>
      </c>
      <c r="E54" s="51"/>
      <c r="F54" s="51"/>
      <c r="G54" s="51"/>
      <c r="H54" s="51"/>
      <c r="I54" s="51"/>
    </row>
    <row r="55" spans="1:9">
      <c r="A55" s="56" t="s">
        <v>28</v>
      </c>
      <c r="B55" s="56">
        <v>8</v>
      </c>
      <c r="C55" s="56">
        <v>78</v>
      </c>
      <c r="D55" s="56" t="s">
        <v>367</v>
      </c>
      <c r="E55" s="51"/>
      <c r="F55" s="51"/>
      <c r="G55" s="51"/>
      <c r="H55" s="51"/>
      <c r="I55" s="51"/>
    </row>
    <row r="56" spans="1:9">
      <c r="A56" s="56" t="s">
        <v>25</v>
      </c>
      <c r="B56" s="56">
        <v>160</v>
      </c>
      <c r="C56" s="56">
        <v>400</v>
      </c>
      <c r="D56" s="56" t="s">
        <v>379</v>
      </c>
      <c r="E56" s="51"/>
      <c r="F56" s="51"/>
      <c r="G56" s="51"/>
      <c r="H56" s="51"/>
      <c r="I56" s="51"/>
    </row>
    <row r="57" spans="1:9">
      <c r="A57" s="56" t="s">
        <v>25</v>
      </c>
      <c r="B57" s="56">
        <v>160</v>
      </c>
      <c r="C57" s="56">
        <v>500</v>
      </c>
      <c r="D57" s="56" t="s">
        <v>382</v>
      </c>
      <c r="E57" s="51"/>
      <c r="F57" s="51"/>
      <c r="G57" s="51"/>
      <c r="H57" s="51"/>
      <c r="I57" s="51"/>
    </row>
    <row r="58" spans="1:9">
      <c r="A58" s="56" t="s">
        <v>28</v>
      </c>
      <c r="B58" s="56">
        <v>48</v>
      </c>
      <c r="C58" s="56">
        <v>80</v>
      </c>
      <c r="D58" s="56" t="s">
        <v>381</v>
      </c>
      <c r="E58" s="51"/>
      <c r="F58" s="51"/>
      <c r="G58" s="51"/>
      <c r="H58" s="51"/>
      <c r="I58" s="51"/>
    </row>
    <row r="59" spans="1:9">
      <c r="A59" s="56" t="s">
        <v>28</v>
      </c>
      <c r="B59" s="56">
        <v>48</v>
      </c>
      <c r="C59" s="56" t="s">
        <v>383</v>
      </c>
      <c r="D59" s="56" t="s">
        <v>384</v>
      </c>
      <c r="E59" s="51"/>
      <c r="F59" s="51"/>
      <c r="G59" s="51"/>
      <c r="H59" s="51"/>
      <c r="I59" s="51"/>
    </row>
    <row r="60" spans="1:9">
      <c r="A60" s="56" t="s">
        <v>25</v>
      </c>
      <c r="B60" s="56">
        <v>128</v>
      </c>
      <c r="C60" s="56">
        <v>600</v>
      </c>
      <c r="D60" s="56" t="s">
        <v>388</v>
      </c>
      <c r="E60" s="51"/>
      <c r="F60" s="51"/>
      <c r="G60" s="51"/>
      <c r="H60" s="51"/>
      <c r="I60" s="51"/>
    </row>
    <row r="61" spans="1:9">
      <c r="A61" s="56" t="s">
        <v>25</v>
      </c>
      <c r="B61" s="56">
        <v>128</v>
      </c>
      <c r="C61" s="56">
        <v>680</v>
      </c>
      <c r="D61" s="56" t="s">
        <v>389</v>
      </c>
      <c r="E61" s="51"/>
      <c r="F61" s="51"/>
      <c r="G61" s="51"/>
      <c r="H61" s="51"/>
      <c r="I61" s="51"/>
    </row>
    <row r="62" spans="1:9">
      <c r="A62" s="56" t="s">
        <v>28</v>
      </c>
      <c r="B62" s="56">
        <v>8</v>
      </c>
      <c r="C62" s="56">
        <v>0</v>
      </c>
      <c r="D62" s="56">
        <v>0</v>
      </c>
      <c r="E62" s="51"/>
      <c r="F62" s="51"/>
      <c r="G62" s="51"/>
      <c r="H62" s="51"/>
      <c r="I62" s="51"/>
    </row>
    <row r="63" spans="1:9">
      <c r="A63" s="56" t="s">
        <v>28</v>
      </c>
      <c r="B63" s="56">
        <v>8</v>
      </c>
      <c r="C63" s="56">
        <v>0</v>
      </c>
      <c r="D63" s="56" t="s">
        <v>390</v>
      </c>
      <c r="E63" s="51"/>
      <c r="F63" s="51"/>
      <c r="G63" s="51"/>
      <c r="H63" s="51"/>
      <c r="I63" s="51"/>
    </row>
    <row r="64" spans="1:9">
      <c r="A64" s="56" t="s">
        <v>25</v>
      </c>
      <c r="B64" s="56">
        <v>160</v>
      </c>
      <c r="C64" s="56">
        <v>700</v>
      </c>
      <c r="D64" s="56" t="s">
        <v>391</v>
      </c>
      <c r="E64" s="51"/>
      <c r="F64" s="51"/>
      <c r="G64" s="51"/>
      <c r="H64" s="51"/>
      <c r="I64" s="51"/>
    </row>
    <row r="65" spans="1:9">
      <c r="A65" s="56" t="s">
        <v>25</v>
      </c>
      <c r="B65" s="56">
        <v>160</v>
      </c>
      <c r="C65" s="56">
        <v>800</v>
      </c>
      <c r="D65" s="56" t="s">
        <v>392</v>
      </c>
      <c r="E65" s="51"/>
      <c r="F65" s="51"/>
      <c r="G65" s="51"/>
      <c r="H65" s="51"/>
      <c r="I65" s="51"/>
    </row>
    <row r="66" spans="1:9">
      <c r="A66" s="56" t="s">
        <v>28</v>
      </c>
      <c r="B66" s="56">
        <v>48</v>
      </c>
      <c r="C66" s="56" t="s">
        <v>393</v>
      </c>
      <c r="D66" s="56" t="s">
        <v>371</v>
      </c>
      <c r="E66" s="51"/>
      <c r="F66" s="51"/>
      <c r="G66" s="51"/>
      <c r="H66" s="51"/>
      <c r="I66" s="51"/>
    </row>
    <row r="67" spans="1:9">
      <c r="A67" s="56" t="s">
        <v>28</v>
      </c>
      <c r="B67" s="56">
        <v>48</v>
      </c>
      <c r="C67" s="56">
        <v>120</v>
      </c>
      <c r="D67" s="56" t="s">
        <v>394</v>
      </c>
      <c r="E67" s="51"/>
      <c r="F67" s="51"/>
      <c r="G67" s="51"/>
      <c r="H67" s="51"/>
      <c r="I67" s="51"/>
    </row>
    <row r="68" spans="1:9">
      <c r="A68" s="56" t="s">
        <v>25</v>
      </c>
      <c r="B68" s="56">
        <v>128</v>
      </c>
      <c r="C68" s="56">
        <v>900</v>
      </c>
      <c r="D68" s="56" t="s">
        <v>395</v>
      </c>
      <c r="E68" s="51"/>
      <c r="F68" s="51"/>
      <c r="G68" s="51"/>
      <c r="H68" s="51"/>
      <c r="I68" s="51"/>
    </row>
    <row r="69" spans="1:9">
      <c r="A69" s="56" t="s">
        <v>25</v>
      </c>
      <c r="B69" s="56">
        <v>128</v>
      </c>
      <c r="C69" s="56">
        <v>980</v>
      </c>
      <c r="D69" s="56" t="s">
        <v>396</v>
      </c>
      <c r="E69" s="51"/>
      <c r="F69" s="51"/>
      <c r="G69" s="51"/>
      <c r="H69" s="51"/>
      <c r="I69" s="51"/>
    </row>
    <row r="70" spans="1:9">
      <c r="A70" s="56" t="s">
        <v>28</v>
      </c>
      <c r="B70" s="56">
        <v>8</v>
      </c>
      <c r="C70" s="56">
        <v>150</v>
      </c>
      <c r="D70" s="56">
        <v>157</v>
      </c>
      <c r="E70" s="51"/>
      <c r="F70" s="51"/>
      <c r="G70" s="51"/>
      <c r="H70" s="51"/>
      <c r="I70" s="51"/>
    </row>
    <row r="71" spans="1:9">
      <c r="A71" s="56" t="s">
        <v>28</v>
      </c>
      <c r="B71" s="56">
        <v>8</v>
      </c>
      <c r="C71" s="56">
        <v>158</v>
      </c>
      <c r="D71" s="56" t="s">
        <v>397</v>
      </c>
      <c r="E71" s="51"/>
      <c r="F71" s="51"/>
      <c r="G71" s="51"/>
      <c r="H71" s="51"/>
      <c r="I71" s="51"/>
    </row>
    <row r="72" spans="1:9">
      <c r="A72" s="56" t="s">
        <v>25</v>
      </c>
      <c r="B72" s="56">
        <v>160</v>
      </c>
      <c r="C72" s="56">
        <v>1000</v>
      </c>
      <c r="D72" s="56" t="s">
        <v>398</v>
      </c>
      <c r="E72" s="51"/>
      <c r="F72" s="51"/>
      <c r="G72" s="51"/>
      <c r="H72" s="51"/>
      <c r="I72" s="51"/>
    </row>
    <row r="73" spans="1:9">
      <c r="A73" s="56" t="s">
        <v>25</v>
      </c>
      <c r="B73" s="56">
        <v>160</v>
      </c>
      <c r="C73" s="56">
        <v>1100</v>
      </c>
      <c r="D73" s="56" t="s">
        <v>399</v>
      </c>
      <c r="E73" s="51"/>
      <c r="F73" s="51"/>
      <c r="G73" s="51"/>
      <c r="H73" s="51"/>
      <c r="I73" s="51"/>
    </row>
    <row r="74" spans="1:9">
      <c r="A74" s="56" t="s">
        <v>28</v>
      </c>
      <c r="B74" s="56">
        <v>48</v>
      </c>
      <c r="C74" s="56">
        <v>160</v>
      </c>
      <c r="D74" s="56" t="s">
        <v>400</v>
      </c>
      <c r="E74" s="51"/>
      <c r="F74" s="51"/>
      <c r="G74" s="51"/>
      <c r="H74" s="51"/>
      <c r="I74" s="51"/>
    </row>
    <row r="75" spans="1:9">
      <c r="A75" s="56" t="s">
        <v>28</v>
      </c>
      <c r="B75" s="56">
        <v>48</v>
      </c>
      <c r="C75" s="56">
        <v>190</v>
      </c>
      <c r="D75" s="56" t="s">
        <v>401</v>
      </c>
      <c r="E75" s="51"/>
      <c r="F75" s="51"/>
      <c r="G75" s="51"/>
      <c r="H75" s="51"/>
      <c r="I75" s="51"/>
    </row>
    <row r="76" spans="1:9">
      <c r="A76" s="51"/>
      <c r="E76" s="51"/>
      <c r="F76" s="51"/>
      <c r="G76" s="51"/>
      <c r="H76" s="51"/>
      <c r="I76" s="51"/>
    </row>
    <row r="77" spans="1:9">
      <c r="A77" s="51"/>
      <c r="E77" s="51"/>
      <c r="F77" s="51"/>
      <c r="G77" s="51"/>
      <c r="H77" s="51"/>
      <c r="I77" s="51"/>
    </row>
    <row r="78" spans="1:9">
      <c r="A78" s="51"/>
      <c r="E78" s="51"/>
      <c r="F78" s="51"/>
      <c r="G78" s="51"/>
      <c r="H78" s="51"/>
      <c r="I78" s="51"/>
    </row>
    <row r="79" spans="1:9">
      <c r="A79" s="51"/>
      <c r="E79" s="51"/>
      <c r="F79" s="51"/>
      <c r="G79" s="51"/>
      <c r="H79" s="51"/>
      <c r="I79" s="51"/>
    </row>
    <row r="80" spans="1:9">
      <c r="A80" s="51"/>
      <c r="E80" s="51"/>
      <c r="F80" s="51"/>
      <c r="G80" s="51"/>
      <c r="H80" s="51"/>
      <c r="I80" s="51"/>
    </row>
    <row r="81" spans="1:9">
      <c r="A81" s="51"/>
      <c r="E81" s="51"/>
      <c r="F81" s="51"/>
      <c r="G81" s="51"/>
      <c r="H81" s="51"/>
      <c r="I81" s="51"/>
    </row>
    <row r="82" spans="1:9">
      <c r="A82" s="51"/>
      <c r="E82" s="51"/>
      <c r="F82" s="51"/>
      <c r="G82" s="51"/>
      <c r="H82" s="51"/>
      <c r="I82" s="51"/>
    </row>
    <row r="83" spans="1:9">
      <c r="A83" s="51"/>
      <c r="E83" s="51"/>
      <c r="F83" s="51"/>
      <c r="G83" s="51"/>
      <c r="H83" s="51"/>
      <c r="I83" s="51"/>
    </row>
    <row r="84" spans="1:9">
      <c r="A84" s="51"/>
      <c r="E84" s="51"/>
      <c r="F84" s="51"/>
      <c r="G84" s="51"/>
      <c r="H84" s="51"/>
      <c r="I84" s="51"/>
    </row>
    <row r="85" spans="1:9">
      <c r="A85" s="51"/>
      <c r="E85" s="51"/>
      <c r="F85" s="51"/>
      <c r="G85" s="51"/>
      <c r="H85" s="51"/>
      <c r="I85" s="51"/>
    </row>
    <row r="86" spans="1:9">
      <c r="A86" s="51"/>
      <c r="E86" s="51"/>
      <c r="F86" s="51"/>
      <c r="G86" s="51"/>
      <c r="H86" s="51"/>
      <c r="I86" s="51"/>
    </row>
    <row r="87" spans="1:9">
      <c r="A87" s="51"/>
      <c r="E87" s="51"/>
      <c r="F87" s="51"/>
      <c r="G87" s="51"/>
      <c r="H87" s="51"/>
      <c r="I87" s="51"/>
    </row>
    <row r="88" spans="1:9">
      <c r="A88" s="51"/>
      <c r="E88" s="51"/>
      <c r="F88" s="51"/>
      <c r="G88" s="51"/>
      <c r="H88" s="51"/>
      <c r="I88" s="51"/>
    </row>
    <row r="89" spans="1:9">
      <c r="A89" s="51"/>
      <c r="E89" s="51"/>
      <c r="F89" s="51"/>
      <c r="G89" s="51"/>
      <c r="H89" s="51"/>
      <c r="I89" s="51"/>
    </row>
    <row r="90" spans="1:9">
      <c r="A90" s="51"/>
      <c r="E90" s="51"/>
      <c r="F90" s="51"/>
      <c r="G90" s="51"/>
      <c r="H90" s="51"/>
      <c r="I90" s="51"/>
    </row>
    <row r="91" spans="1:9">
      <c r="A91" s="51"/>
      <c r="E91" s="51"/>
      <c r="F91" s="51"/>
      <c r="G91" s="51"/>
      <c r="H91" s="51"/>
      <c r="I91" s="51"/>
    </row>
    <row r="92" spans="1:9">
      <c r="A92" s="51"/>
      <c r="E92" s="51"/>
      <c r="F92" s="51"/>
      <c r="G92" s="51"/>
      <c r="H92" s="51"/>
      <c r="I92" s="51"/>
    </row>
    <row r="93" spans="1:9">
      <c r="A93" s="51"/>
      <c r="E93" s="51"/>
      <c r="F93" s="51"/>
      <c r="G93" s="51"/>
      <c r="H93" s="51"/>
      <c r="I93" s="51"/>
    </row>
    <row r="94" spans="1:9">
      <c r="A94" s="51"/>
      <c r="E94" s="51"/>
      <c r="F94" s="51"/>
      <c r="G94" s="51"/>
      <c r="H94" s="51"/>
      <c r="I94" s="51"/>
    </row>
    <row r="95" spans="1:9">
      <c r="A95" s="51"/>
      <c r="E95" s="51"/>
      <c r="F95" s="51"/>
      <c r="G95" s="51"/>
      <c r="H95" s="51"/>
      <c r="I95" s="51"/>
    </row>
    <row r="96" spans="1:9">
      <c r="A96" s="51"/>
      <c r="E96" s="51"/>
      <c r="F96" s="51"/>
      <c r="G96" s="51"/>
      <c r="H96" s="51"/>
      <c r="I96" s="51"/>
    </row>
    <row r="97" spans="1:9">
      <c r="A97" s="51"/>
      <c r="E97" s="51"/>
      <c r="F97" s="51"/>
      <c r="G97" s="51"/>
      <c r="H97" s="51"/>
      <c r="I97" s="51"/>
    </row>
    <row r="98" spans="1:9">
      <c r="A98" s="51"/>
      <c r="E98" s="51"/>
      <c r="F98" s="51"/>
      <c r="G98" s="51"/>
      <c r="H98" s="51"/>
      <c r="I98" s="51"/>
    </row>
    <row r="99" spans="1:9">
      <c r="A99" s="51"/>
      <c r="E99" s="51"/>
      <c r="F99" s="51"/>
      <c r="G99" s="51"/>
      <c r="H99" s="51"/>
      <c r="I99" s="51"/>
    </row>
    <row r="100" spans="1:9">
      <c r="A100" s="51"/>
      <c r="E100" s="51"/>
      <c r="F100" s="51"/>
      <c r="G100" s="51"/>
      <c r="H100" s="51"/>
      <c r="I100" s="51"/>
    </row>
    <row r="101" spans="1:9">
      <c r="A101" s="51"/>
      <c r="E101" s="51"/>
      <c r="F101" s="51"/>
      <c r="G101" s="51"/>
      <c r="H101" s="51"/>
      <c r="I101" s="51"/>
    </row>
    <row r="102" spans="1:9">
      <c r="A102" s="51"/>
      <c r="E102" s="51"/>
      <c r="F102" s="51"/>
      <c r="G102" s="51"/>
      <c r="H102" s="51"/>
      <c r="I102" s="51"/>
    </row>
    <row r="103" spans="1:9">
      <c r="A103" s="51"/>
      <c r="E103" s="51"/>
      <c r="F103" s="51"/>
      <c r="G103" s="51"/>
      <c r="H103" s="51"/>
      <c r="I103" s="51"/>
    </row>
    <row r="104" spans="1:9">
      <c r="A104" s="51"/>
      <c r="E104" s="51"/>
      <c r="F104" s="51"/>
      <c r="G104" s="51"/>
      <c r="H104" s="51"/>
      <c r="I104" s="51"/>
    </row>
    <row r="105" spans="1:9">
      <c r="A105" s="51"/>
      <c r="E105" s="51"/>
      <c r="F105" s="51"/>
      <c r="G105" s="51"/>
      <c r="H105" s="51"/>
      <c r="I105" s="51"/>
    </row>
    <row r="106" spans="1:9">
      <c r="A106" s="51"/>
      <c r="E106" s="51"/>
      <c r="F106" s="51"/>
      <c r="G106" s="51"/>
      <c r="H106" s="51"/>
      <c r="I106" s="51"/>
    </row>
    <row r="107" spans="1:9">
      <c r="A107" s="51"/>
      <c r="E107" s="51"/>
      <c r="F107" s="51"/>
      <c r="G107" s="51"/>
      <c r="H107" s="51"/>
      <c r="I107" s="51"/>
    </row>
    <row r="108" spans="1:9">
      <c r="A108" s="51"/>
      <c r="E108" s="51"/>
      <c r="F108" s="51"/>
      <c r="G108" s="51"/>
      <c r="H108" s="51"/>
      <c r="I108" s="51"/>
    </row>
    <row r="109" spans="1:9">
      <c r="A109" s="51"/>
      <c r="E109" s="51"/>
      <c r="F109" s="51"/>
      <c r="G109" s="51"/>
      <c r="H109" s="51"/>
      <c r="I109" s="51"/>
    </row>
    <row r="110" spans="1:9">
      <c r="A110" s="51"/>
      <c r="E110" s="51"/>
      <c r="F110" s="51"/>
      <c r="G110" s="51"/>
      <c r="H110" s="51"/>
      <c r="I110" s="51"/>
    </row>
    <row r="111" spans="1:9">
      <c r="A111" s="51"/>
      <c r="E111" s="51"/>
      <c r="F111" s="51"/>
      <c r="G111" s="51"/>
      <c r="H111" s="51"/>
      <c r="I111" s="51"/>
    </row>
    <row r="112" spans="1:9">
      <c r="A112" s="51"/>
      <c r="E112" s="51"/>
      <c r="F112" s="51"/>
      <c r="G112" s="51"/>
      <c r="H112" s="51"/>
      <c r="I112" s="51"/>
    </row>
    <row r="113" spans="1:9">
      <c r="A113" s="51"/>
      <c r="E113" s="51"/>
      <c r="F113" s="51"/>
      <c r="G113" s="51"/>
      <c r="H113" s="51"/>
      <c r="I113" s="51"/>
    </row>
    <row r="114" spans="1:9">
      <c r="A114" s="51"/>
      <c r="E114" s="51"/>
      <c r="F114" s="51"/>
      <c r="G114" s="51"/>
      <c r="H114" s="51"/>
      <c r="I114" s="51"/>
    </row>
    <row r="115" spans="1:9">
      <c r="A115" s="51"/>
      <c r="E115" s="51"/>
      <c r="F115" s="51"/>
      <c r="G115" s="51"/>
      <c r="H115" s="51"/>
      <c r="I115" s="51"/>
    </row>
    <row r="116" spans="1:9">
      <c r="A116" s="51"/>
      <c r="E116" s="51"/>
      <c r="F116" s="51"/>
      <c r="G116" s="51"/>
      <c r="H116" s="51"/>
      <c r="I116" s="51"/>
    </row>
    <row r="117" spans="1:9">
      <c r="A117" s="51"/>
      <c r="E117" s="51"/>
      <c r="F117" s="51"/>
      <c r="G117" s="51"/>
      <c r="H117" s="51"/>
      <c r="I117" s="51"/>
    </row>
    <row r="118" spans="1:9">
      <c r="A118" s="51"/>
      <c r="E118" s="51"/>
      <c r="F118" s="51"/>
      <c r="G118" s="51"/>
      <c r="H118" s="51"/>
      <c r="I118" s="51"/>
    </row>
    <row r="119" spans="1:9">
      <c r="A119" s="51"/>
      <c r="E119" s="51"/>
      <c r="F119" s="51"/>
      <c r="G119" s="51"/>
      <c r="H119" s="51"/>
      <c r="I119" s="51"/>
    </row>
    <row r="120" spans="1:9">
      <c r="A120" s="51"/>
      <c r="E120" s="51"/>
      <c r="F120" s="51"/>
      <c r="G120" s="51"/>
      <c r="H120" s="51"/>
      <c r="I120" s="51"/>
    </row>
    <row r="121" spans="1:9">
      <c r="A121" s="51"/>
      <c r="E121" s="51"/>
      <c r="F121" s="51"/>
      <c r="G121" s="51"/>
      <c r="H121" s="51"/>
      <c r="I121" s="51"/>
    </row>
    <row r="122" spans="1:9">
      <c r="A122" s="51"/>
      <c r="E122" s="51"/>
      <c r="F122" s="51"/>
      <c r="G122" s="51"/>
      <c r="H122" s="51"/>
      <c r="I122" s="51"/>
    </row>
    <row r="123" spans="1:9">
      <c r="A123" s="51"/>
      <c r="E123" s="51"/>
      <c r="F123" s="51"/>
      <c r="G123" s="51"/>
      <c r="H123" s="51"/>
      <c r="I123" s="51"/>
    </row>
    <row r="124" spans="1:9">
      <c r="A124" s="51"/>
      <c r="E124" s="51"/>
      <c r="F124" s="51"/>
      <c r="G124" s="51"/>
      <c r="H124" s="51"/>
      <c r="I124" s="51"/>
    </row>
    <row r="125" spans="1:9">
      <c r="A125" s="51"/>
      <c r="E125" s="51"/>
      <c r="F125" s="51"/>
      <c r="G125" s="51"/>
      <c r="H125" s="51"/>
      <c r="I125" s="51"/>
    </row>
    <row r="126" spans="1:9">
      <c r="A126" s="51"/>
      <c r="E126" s="51"/>
      <c r="F126" s="51"/>
      <c r="G126" s="51"/>
      <c r="H126" s="51"/>
      <c r="I126" s="51"/>
    </row>
    <row r="127" spans="1:9">
      <c r="A127" s="51"/>
      <c r="E127" s="51"/>
      <c r="F127" s="51"/>
      <c r="G127" s="51"/>
      <c r="H127" s="51"/>
      <c r="I127" s="51"/>
    </row>
    <row r="128" spans="1:9">
      <c r="A128" s="51"/>
      <c r="E128" s="51"/>
      <c r="F128" s="51"/>
      <c r="G128" s="51"/>
      <c r="H128" s="51"/>
      <c r="I128" s="51"/>
    </row>
    <row r="129" spans="1:9">
      <c r="A129" s="51"/>
      <c r="E129" s="51"/>
      <c r="F129" s="51"/>
      <c r="G129" s="51"/>
      <c r="H129" s="51"/>
      <c r="I129" s="51"/>
    </row>
    <row r="130" spans="1:9">
      <c r="A130" s="51"/>
      <c r="E130" s="51"/>
      <c r="F130" s="51"/>
      <c r="G130" s="51"/>
      <c r="H130" s="51"/>
      <c r="I130" s="51"/>
    </row>
    <row r="131" spans="1:9">
      <c r="A131" s="51"/>
      <c r="E131" s="51"/>
      <c r="F131" s="51"/>
      <c r="G131" s="51"/>
      <c r="H131" s="51"/>
      <c r="I131" s="51"/>
    </row>
    <row r="132" spans="1:9">
      <c r="A132" s="51"/>
      <c r="E132" s="51"/>
      <c r="F132" s="51"/>
      <c r="G132" s="51"/>
      <c r="H132" s="51"/>
      <c r="I132" s="51"/>
    </row>
    <row r="133" spans="1:9">
      <c r="A133" s="51"/>
      <c r="E133" s="51"/>
      <c r="F133" s="51"/>
      <c r="G133" s="51"/>
      <c r="H133" s="51"/>
      <c r="I133" s="51"/>
    </row>
    <row r="134" spans="1:9">
      <c r="A134" s="51"/>
      <c r="E134" s="51"/>
      <c r="F134" s="51"/>
      <c r="G134" s="51"/>
      <c r="H134" s="51"/>
      <c r="I134" s="51"/>
    </row>
    <row r="135" spans="1:9">
      <c r="A135" s="51"/>
      <c r="E135" s="51"/>
      <c r="F135" s="51"/>
      <c r="G135" s="51"/>
      <c r="H135" s="51"/>
      <c r="I135" s="51"/>
    </row>
    <row r="136" spans="1:9">
      <c r="A136" s="51"/>
      <c r="E136" s="51"/>
      <c r="F136" s="51"/>
      <c r="G136" s="51"/>
      <c r="H136" s="51"/>
      <c r="I136" s="51"/>
    </row>
    <row r="137" spans="1:9">
      <c r="A137" s="51"/>
      <c r="E137" s="51"/>
      <c r="F137" s="51"/>
      <c r="G137" s="51"/>
      <c r="H137" s="51"/>
      <c r="I137" s="51"/>
    </row>
    <row r="138" spans="1:9">
      <c r="A138" s="51"/>
      <c r="E138" s="51"/>
      <c r="F138" s="51"/>
      <c r="G138" s="51"/>
      <c r="H138" s="51"/>
      <c r="I138" s="51"/>
    </row>
    <row r="139" spans="1:9">
      <c r="A139" s="51"/>
      <c r="E139" s="51"/>
      <c r="F139" s="51"/>
      <c r="G139" s="51"/>
      <c r="H139" s="51"/>
      <c r="I139" s="51"/>
    </row>
    <row r="140" spans="1:9">
      <c r="A140" s="51"/>
      <c r="E140" s="51"/>
      <c r="F140" s="51"/>
      <c r="G140" s="51"/>
      <c r="H140" s="51"/>
      <c r="I140" s="51"/>
    </row>
    <row r="141" spans="1:9">
      <c r="A141" s="51"/>
      <c r="E141" s="51"/>
      <c r="F141" s="51"/>
      <c r="G141" s="51"/>
      <c r="H141" s="51"/>
      <c r="I141" s="51"/>
    </row>
    <row r="142" spans="1:9">
      <c r="A142" s="51"/>
      <c r="E142" s="51"/>
      <c r="F142" s="51"/>
      <c r="G142" s="51"/>
      <c r="H142" s="51"/>
      <c r="I142" s="51"/>
    </row>
    <row r="143" spans="1:9">
      <c r="A143" s="51"/>
      <c r="E143" s="51"/>
      <c r="F143" s="51"/>
      <c r="G143" s="51"/>
      <c r="H143" s="51"/>
      <c r="I143" s="51"/>
    </row>
    <row r="144" spans="1:9">
      <c r="A144" s="51"/>
      <c r="E144" s="51"/>
      <c r="F144" s="51"/>
      <c r="G144" s="51"/>
      <c r="H144" s="51"/>
      <c r="I144" s="51"/>
    </row>
    <row r="145" spans="1:9">
      <c r="A145" s="51"/>
      <c r="E145" s="51"/>
      <c r="F145" s="51"/>
      <c r="G145" s="51"/>
      <c r="H145" s="51"/>
      <c r="I145" s="51"/>
    </row>
    <row r="146" spans="1:9">
      <c r="A146" s="51"/>
      <c r="E146" s="51"/>
      <c r="F146" s="51"/>
      <c r="G146" s="51"/>
      <c r="H146" s="51"/>
      <c r="I146" s="51"/>
    </row>
    <row r="147" spans="1:9">
      <c r="A147" s="51"/>
      <c r="E147" s="51"/>
      <c r="F147" s="51"/>
      <c r="G147" s="51"/>
      <c r="H147" s="51"/>
      <c r="I147" s="51"/>
    </row>
    <row r="148" spans="1:9">
      <c r="A148" s="51"/>
      <c r="E148" s="51"/>
      <c r="F148" s="51"/>
      <c r="G148" s="51"/>
      <c r="H148" s="51"/>
      <c r="I148" s="51"/>
    </row>
    <row r="149" spans="1:9">
      <c r="A149" s="51"/>
      <c r="E149" s="51"/>
      <c r="F149" s="51"/>
      <c r="G149" s="51"/>
      <c r="H149" s="51"/>
      <c r="I149" s="51"/>
    </row>
    <row r="150" spans="1:9">
      <c r="A150" s="51"/>
      <c r="E150" s="51"/>
      <c r="F150" s="51"/>
      <c r="G150" s="51"/>
      <c r="H150" s="51"/>
      <c r="I150" s="51"/>
    </row>
    <row r="151" spans="1:9">
      <c r="A151" s="51"/>
      <c r="E151" s="51"/>
      <c r="F151" s="51"/>
      <c r="G151" s="51"/>
      <c r="H151" s="51"/>
      <c r="I151" s="51"/>
    </row>
    <row r="152" spans="1:9">
      <c r="A152" s="51"/>
      <c r="E152" s="51"/>
      <c r="F152" s="51"/>
      <c r="G152" s="51"/>
      <c r="H152" s="51"/>
      <c r="I152" s="51"/>
    </row>
    <row r="153" spans="1:9">
      <c r="A153" s="51"/>
      <c r="E153" s="51"/>
      <c r="F153" s="51"/>
      <c r="G153" s="51"/>
      <c r="H153" s="51"/>
      <c r="I153" s="51"/>
    </row>
    <row r="154" spans="1:9">
      <c r="A154" s="51"/>
      <c r="E154" s="51"/>
      <c r="F154" s="51"/>
      <c r="G154" s="51"/>
      <c r="H154" s="51"/>
      <c r="I154" s="51"/>
    </row>
    <row r="155" spans="1:9">
      <c r="A155" s="51"/>
      <c r="E155" s="51"/>
      <c r="F155" s="51"/>
      <c r="G155" s="51"/>
      <c r="H155" s="51"/>
      <c r="I155" s="51"/>
    </row>
    <row r="156" spans="1:9">
      <c r="A156" s="51"/>
      <c r="E156" s="51"/>
      <c r="F156" s="51"/>
      <c r="G156" s="51"/>
      <c r="H156" s="51"/>
      <c r="I156" s="51"/>
    </row>
    <row r="157" spans="1:9">
      <c r="A157" s="51"/>
      <c r="E157" s="51"/>
      <c r="F157" s="51"/>
      <c r="G157" s="51"/>
      <c r="H157" s="51"/>
      <c r="I157" s="51"/>
    </row>
    <row r="158" spans="1:9">
      <c r="A158" s="51"/>
      <c r="E158" s="51"/>
      <c r="F158" s="51"/>
      <c r="G158" s="51"/>
      <c r="H158" s="51"/>
      <c r="I158" s="51"/>
    </row>
    <row r="159" spans="1:9">
      <c r="A159" s="51"/>
      <c r="E159" s="51"/>
      <c r="F159" s="51"/>
      <c r="G159" s="51"/>
      <c r="H159" s="51"/>
      <c r="I159" s="51"/>
    </row>
    <row r="160" spans="1:9">
      <c r="A160" s="51"/>
      <c r="E160" s="51"/>
      <c r="F160" s="51"/>
      <c r="G160" s="51"/>
      <c r="H160" s="51"/>
      <c r="I160" s="51"/>
    </row>
    <row r="161" spans="1:9">
      <c r="A161" s="51"/>
      <c r="E161" s="51"/>
      <c r="F161" s="51"/>
      <c r="G161" s="51"/>
      <c r="H161" s="51"/>
      <c r="I161" s="51"/>
    </row>
    <row r="162" spans="1:9">
      <c r="A162" s="51"/>
      <c r="E162" s="51"/>
      <c r="F162" s="51"/>
      <c r="G162" s="51"/>
      <c r="H162" s="51"/>
      <c r="I162" s="51"/>
    </row>
    <row r="163" spans="1:9">
      <c r="A163" s="51"/>
      <c r="E163" s="51"/>
      <c r="F163" s="51"/>
      <c r="G163" s="51"/>
      <c r="H163" s="51"/>
      <c r="I163" s="51"/>
    </row>
    <row r="164" spans="1:9">
      <c r="A164" s="51"/>
      <c r="E164" s="51"/>
      <c r="F164" s="51"/>
      <c r="G164" s="51"/>
      <c r="H164" s="51"/>
      <c r="I164" s="51"/>
    </row>
    <row r="165" spans="1:9">
      <c r="A165" s="51"/>
      <c r="E165" s="51"/>
      <c r="F165" s="51"/>
      <c r="G165" s="51"/>
      <c r="H165" s="51"/>
      <c r="I165" s="51"/>
    </row>
    <row r="166" spans="1:9">
      <c r="A166" s="51"/>
      <c r="E166" s="51"/>
      <c r="F166" s="51"/>
      <c r="G166" s="51"/>
      <c r="H166" s="51"/>
      <c r="I166" s="51"/>
    </row>
    <row r="167" spans="1:9">
      <c r="A167" s="51"/>
      <c r="E167" s="51"/>
      <c r="F167" s="51"/>
      <c r="G167" s="51"/>
      <c r="H167" s="51"/>
      <c r="I167" s="51"/>
    </row>
    <row r="168" spans="1:9">
      <c r="A168" s="51"/>
      <c r="E168" s="51"/>
      <c r="F168" s="51"/>
      <c r="G168" s="51"/>
      <c r="H168" s="51"/>
      <c r="I168" s="51"/>
    </row>
    <row r="169" spans="1:9">
      <c r="A169" s="51"/>
      <c r="E169" s="51"/>
      <c r="F169" s="51"/>
      <c r="G169" s="51"/>
      <c r="H169" s="51"/>
      <c r="I169" s="51"/>
    </row>
    <row r="170" spans="1:9">
      <c r="A170" s="51"/>
      <c r="E170" s="51"/>
      <c r="F170" s="51"/>
      <c r="G170" s="51"/>
      <c r="H170" s="51"/>
      <c r="I170" s="51"/>
    </row>
    <row r="171" spans="1:9">
      <c r="A171" s="51"/>
      <c r="E171" s="51"/>
      <c r="F171" s="51"/>
      <c r="G171" s="51"/>
      <c r="H171" s="51"/>
      <c r="I171" s="51"/>
    </row>
    <row r="172" spans="1:9">
      <c r="A172" s="51"/>
      <c r="E172" s="51"/>
      <c r="F172" s="51"/>
      <c r="G172" s="51"/>
      <c r="H172" s="51"/>
      <c r="I172" s="51"/>
    </row>
    <row r="173" spans="1:9">
      <c r="A173" s="51"/>
      <c r="E173" s="51"/>
      <c r="F173" s="51"/>
      <c r="G173" s="51"/>
      <c r="H173" s="51"/>
      <c r="I173" s="51"/>
    </row>
    <row r="174" spans="1:9">
      <c r="A174" s="51"/>
      <c r="E174" s="51"/>
      <c r="F174" s="51"/>
      <c r="G174" s="51"/>
      <c r="H174" s="51"/>
      <c r="I174" s="51"/>
    </row>
    <row r="175" spans="1:9">
      <c r="A175" s="51"/>
      <c r="E175" s="51"/>
      <c r="F175" s="51"/>
      <c r="G175" s="51"/>
      <c r="H175" s="51"/>
      <c r="I175" s="51"/>
    </row>
    <row r="176" spans="1:9">
      <c r="A176" s="51"/>
      <c r="E176" s="51"/>
      <c r="F176" s="51"/>
      <c r="G176" s="51"/>
      <c r="H176" s="51"/>
      <c r="I176" s="51"/>
    </row>
    <row r="177" spans="1:9">
      <c r="A177" s="51"/>
      <c r="E177" s="51"/>
      <c r="F177" s="51"/>
      <c r="G177" s="51"/>
      <c r="H177" s="51"/>
      <c r="I177" s="51"/>
    </row>
    <row r="178" spans="1:9">
      <c r="A178" s="51"/>
      <c r="E178" s="51"/>
      <c r="F178" s="51"/>
      <c r="G178" s="51"/>
      <c r="H178" s="51"/>
      <c r="I178" s="51"/>
    </row>
    <row r="179" spans="1:9">
      <c r="A179" s="51"/>
      <c r="E179" s="51"/>
      <c r="F179" s="51"/>
      <c r="G179" s="51"/>
      <c r="H179" s="51"/>
      <c r="I179" s="51"/>
    </row>
    <row r="180" spans="1:9">
      <c r="A180" s="51"/>
      <c r="E180" s="51"/>
      <c r="F180" s="51"/>
      <c r="G180" s="51"/>
      <c r="H180" s="51"/>
      <c r="I180" s="51"/>
    </row>
    <row r="181" spans="1:9">
      <c r="A181" s="51"/>
      <c r="E181" s="51"/>
      <c r="F181" s="51"/>
      <c r="G181" s="51"/>
      <c r="H181" s="51"/>
      <c r="I181" s="51"/>
    </row>
    <row r="182" spans="1:9">
      <c r="A182" s="51"/>
      <c r="E182" s="51"/>
      <c r="F182" s="51"/>
      <c r="G182" s="51"/>
      <c r="H182" s="51"/>
      <c r="I182" s="51"/>
    </row>
    <row r="183" spans="1:9">
      <c r="A183" s="51"/>
      <c r="E183" s="51"/>
      <c r="F183" s="51"/>
      <c r="G183" s="51"/>
      <c r="H183" s="51"/>
      <c r="I183" s="51"/>
    </row>
    <row r="184" spans="1:9">
      <c r="A184" s="51"/>
      <c r="E184" s="51"/>
      <c r="F184" s="51"/>
      <c r="G184" s="51"/>
      <c r="H184" s="51"/>
      <c r="I184" s="51"/>
    </row>
    <row r="185" spans="1:9">
      <c r="A185" s="51"/>
      <c r="E185" s="51"/>
      <c r="F185" s="51"/>
      <c r="G185" s="51"/>
      <c r="H185" s="51"/>
      <c r="I185" s="51"/>
    </row>
    <row r="186" spans="1:9">
      <c r="A186" s="51"/>
      <c r="E186" s="51"/>
      <c r="F186" s="51"/>
      <c r="G186" s="51"/>
      <c r="H186" s="51"/>
      <c r="I186" s="51"/>
    </row>
    <row r="187" spans="1:9">
      <c r="A187" s="51"/>
      <c r="E187" s="51"/>
      <c r="F187" s="51"/>
      <c r="G187" s="51"/>
      <c r="H187" s="51"/>
      <c r="I187" s="51"/>
    </row>
    <row r="188" spans="1:9">
      <c r="A188" s="51"/>
      <c r="E188" s="51"/>
      <c r="F188" s="51"/>
      <c r="G188" s="51"/>
      <c r="H188" s="51"/>
      <c r="I188" s="51"/>
    </row>
    <row r="189" spans="1:9">
      <c r="A189" s="51"/>
      <c r="E189" s="51"/>
      <c r="F189" s="51"/>
      <c r="G189" s="51"/>
      <c r="H189" s="51"/>
      <c r="I189" s="51"/>
    </row>
    <row r="190" spans="1:9">
      <c r="A190" s="51"/>
      <c r="E190" s="51"/>
      <c r="F190" s="51"/>
      <c r="G190" s="51"/>
      <c r="H190" s="51"/>
      <c r="I190" s="51"/>
    </row>
    <row r="191" spans="1:9">
      <c r="A191" s="51"/>
      <c r="E191" s="51"/>
      <c r="F191" s="51"/>
      <c r="G191" s="51"/>
      <c r="H191" s="51"/>
      <c r="I191" s="51"/>
    </row>
    <row r="192" spans="1:9">
      <c r="A192" s="51"/>
      <c r="E192" s="51"/>
      <c r="F192" s="51"/>
      <c r="G192" s="51"/>
      <c r="H192" s="51"/>
      <c r="I192" s="51"/>
    </row>
    <row r="193" spans="1:9">
      <c r="A193" s="51"/>
      <c r="E193" s="51"/>
      <c r="F193" s="51"/>
      <c r="G193" s="51"/>
      <c r="H193" s="51"/>
      <c r="I193" s="51"/>
    </row>
    <row r="194" spans="1:9">
      <c r="A194" s="51"/>
      <c r="E194" s="51"/>
      <c r="F194" s="51"/>
      <c r="G194" s="51"/>
      <c r="H194" s="51"/>
      <c r="I194" s="51"/>
    </row>
    <row r="195" spans="1:9">
      <c r="A195" s="51"/>
      <c r="E195" s="51"/>
      <c r="F195" s="51"/>
      <c r="G195" s="51"/>
      <c r="H195" s="51"/>
      <c r="I195" s="51"/>
    </row>
    <row r="196" spans="1:9">
      <c r="A196" s="51"/>
      <c r="E196" s="51"/>
      <c r="F196" s="51"/>
      <c r="G196" s="51"/>
      <c r="H196" s="51"/>
      <c r="I196" s="51"/>
    </row>
    <row r="197" spans="1:9">
      <c r="A197" s="51"/>
      <c r="E197" s="51"/>
      <c r="F197" s="51"/>
      <c r="G197" s="51"/>
      <c r="H197" s="51"/>
      <c r="I197" s="51"/>
    </row>
    <row r="198" spans="1:9">
      <c r="A198" s="51"/>
      <c r="E198" s="51"/>
      <c r="F198" s="51"/>
      <c r="G198" s="51"/>
      <c r="H198" s="51"/>
      <c r="I198" s="51"/>
    </row>
    <row r="199" spans="1:9">
      <c r="A199" s="51"/>
      <c r="E199" s="51"/>
      <c r="F199" s="51"/>
      <c r="G199" s="51"/>
      <c r="H199" s="51"/>
      <c r="I199" s="51"/>
    </row>
    <row r="200" spans="1:9">
      <c r="A200" s="51"/>
      <c r="E200" s="51"/>
      <c r="F200" s="51"/>
      <c r="G200" s="51"/>
      <c r="H200" s="51"/>
      <c r="I200" s="51"/>
    </row>
    <row r="201" spans="1:9">
      <c r="A201" s="51"/>
      <c r="E201" s="51"/>
      <c r="F201" s="51"/>
      <c r="G201" s="51"/>
      <c r="H201" s="51"/>
      <c r="I201" s="51"/>
    </row>
    <row r="202" spans="1:9">
      <c r="A202" s="51"/>
      <c r="E202" s="51"/>
      <c r="F202" s="51"/>
      <c r="G202" s="51"/>
      <c r="H202" s="51"/>
      <c r="I202" s="51"/>
    </row>
    <row r="203" spans="1:9">
      <c r="A203" s="51"/>
      <c r="E203" s="51"/>
      <c r="F203" s="51"/>
      <c r="G203" s="51"/>
      <c r="H203" s="51"/>
      <c r="I203" s="51"/>
    </row>
    <row r="204" spans="1:9">
      <c r="A204" s="51"/>
      <c r="E204" s="51"/>
      <c r="F204" s="51"/>
      <c r="G204" s="51"/>
      <c r="H204" s="51"/>
      <c r="I204" s="51"/>
    </row>
    <row r="205" spans="1:9">
      <c r="A205" s="51"/>
      <c r="E205" s="51"/>
      <c r="F205" s="51"/>
      <c r="G205" s="51"/>
      <c r="H205" s="51"/>
      <c r="I205" s="51"/>
    </row>
    <row r="206" spans="1:9">
      <c r="A206" s="51"/>
      <c r="E206" s="51"/>
      <c r="F206" s="51"/>
      <c r="G206" s="51"/>
      <c r="H206" s="51"/>
      <c r="I206" s="51"/>
    </row>
    <row r="207" spans="1:9">
      <c r="A207" s="51"/>
      <c r="E207" s="51"/>
      <c r="F207" s="51"/>
      <c r="G207" s="51"/>
      <c r="H207" s="51"/>
      <c r="I207" s="51"/>
    </row>
    <row r="208" spans="1:9">
      <c r="A208" s="51"/>
      <c r="E208" s="51"/>
      <c r="F208" s="51"/>
      <c r="G208" s="51"/>
      <c r="H208" s="51"/>
      <c r="I208" s="51"/>
    </row>
    <row r="209" spans="1:9">
      <c r="A209" s="51"/>
      <c r="E209" s="51"/>
      <c r="F209" s="51"/>
      <c r="G209" s="51"/>
      <c r="H209" s="51"/>
      <c r="I209" s="51"/>
    </row>
    <row r="210" spans="1:9">
      <c r="A210" s="51"/>
      <c r="E210" s="51"/>
      <c r="F210" s="51"/>
      <c r="G210" s="51"/>
      <c r="H210" s="51"/>
      <c r="I210" s="51"/>
    </row>
    <row r="211" spans="1:9">
      <c r="A211" s="51"/>
      <c r="E211" s="51"/>
      <c r="F211" s="51"/>
      <c r="G211" s="51"/>
      <c r="H211" s="51"/>
      <c r="I211" s="51"/>
    </row>
    <row r="212" spans="1:9">
      <c r="A212" s="51"/>
      <c r="E212" s="51"/>
      <c r="F212" s="51"/>
      <c r="G212" s="51"/>
      <c r="H212" s="51"/>
      <c r="I212" s="51"/>
    </row>
    <row r="213" spans="1:9">
      <c r="A213" s="51"/>
      <c r="E213" s="51"/>
      <c r="F213" s="51"/>
      <c r="G213" s="51"/>
      <c r="H213" s="51"/>
      <c r="I213" s="51"/>
    </row>
    <row r="214" spans="1:9">
      <c r="A214" s="51"/>
      <c r="E214" s="51"/>
      <c r="F214" s="51"/>
      <c r="G214" s="51"/>
      <c r="H214" s="51"/>
      <c r="I214" s="51"/>
    </row>
    <row r="215" spans="1:9">
      <c r="A215" s="51"/>
      <c r="E215" s="51"/>
      <c r="F215" s="51"/>
      <c r="G215" s="51"/>
      <c r="H215" s="51"/>
      <c r="I215" s="51"/>
    </row>
    <row r="216" spans="1:9">
      <c r="A216" s="51"/>
      <c r="E216" s="51"/>
      <c r="F216" s="51"/>
      <c r="G216" s="51"/>
      <c r="H216" s="51"/>
      <c r="I216" s="51"/>
    </row>
    <row r="217" spans="1:9">
      <c r="A217" s="51"/>
      <c r="E217" s="51"/>
      <c r="F217" s="51"/>
      <c r="G217" s="51"/>
      <c r="H217" s="51"/>
      <c r="I217" s="51"/>
    </row>
    <row r="218" spans="1:9">
      <c r="A218" s="51"/>
      <c r="E218" s="51"/>
      <c r="F218" s="51"/>
      <c r="G218" s="51"/>
      <c r="H218" s="51"/>
      <c r="I218" s="51"/>
    </row>
    <row r="219" spans="1:9">
      <c r="A219" s="51"/>
      <c r="E219" s="51"/>
      <c r="F219" s="51"/>
      <c r="G219" s="51"/>
      <c r="H219" s="51"/>
      <c r="I219" s="51"/>
    </row>
    <row r="220" spans="1:9">
      <c r="A220" s="51"/>
      <c r="E220" s="51"/>
      <c r="F220" s="51"/>
      <c r="G220" s="51"/>
      <c r="H220" s="51"/>
      <c r="I220" s="51"/>
    </row>
    <row r="221" spans="1:9">
      <c r="A221" s="51"/>
      <c r="E221" s="51"/>
      <c r="F221" s="51"/>
      <c r="G221" s="51"/>
      <c r="H221" s="51"/>
      <c r="I221" s="51"/>
    </row>
    <row r="222" spans="1:9">
      <c r="A222" s="51"/>
      <c r="E222" s="51"/>
      <c r="F222" s="51"/>
      <c r="G222" s="51"/>
      <c r="H222" s="51"/>
      <c r="I222" s="51"/>
    </row>
    <row r="223" spans="1:9">
      <c r="A223" s="51"/>
      <c r="E223" s="51"/>
      <c r="F223" s="51"/>
      <c r="G223" s="51"/>
      <c r="H223" s="51"/>
      <c r="I223" s="51"/>
    </row>
    <row r="224" spans="1:9">
      <c r="A224" s="51"/>
      <c r="E224" s="51"/>
      <c r="F224" s="51"/>
      <c r="G224" s="51"/>
      <c r="H224" s="51"/>
      <c r="I224" s="51"/>
    </row>
    <row r="225" spans="1:9">
      <c r="A225" s="51"/>
      <c r="E225" s="51"/>
      <c r="F225" s="51"/>
      <c r="G225" s="51"/>
      <c r="H225" s="51"/>
      <c r="I225" s="51"/>
    </row>
    <row r="226" spans="1:9">
      <c r="A226" s="51"/>
      <c r="E226" s="51"/>
      <c r="F226" s="51"/>
      <c r="G226" s="51"/>
      <c r="H226" s="51"/>
      <c r="I226" s="51"/>
    </row>
    <row r="227" spans="1:9">
      <c r="A227" s="51"/>
      <c r="E227" s="51"/>
      <c r="F227" s="51"/>
      <c r="G227" s="51"/>
      <c r="H227" s="51"/>
      <c r="I227" s="51"/>
    </row>
    <row r="228" spans="1:9">
      <c r="A228" s="51"/>
      <c r="E228" s="51"/>
      <c r="F228" s="51"/>
      <c r="G228" s="51"/>
      <c r="H228" s="51"/>
      <c r="I228" s="51"/>
    </row>
    <row r="229" spans="1:9">
      <c r="A229" s="51"/>
      <c r="E229" s="51"/>
      <c r="F229" s="51"/>
      <c r="G229" s="51"/>
      <c r="H229" s="51"/>
      <c r="I229" s="51"/>
    </row>
    <row r="230" spans="1:9">
      <c r="A230" s="51"/>
      <c r="E230" s="51"/>
      <c r="F230" s="51"/>
      <c r="G230" s="51"/>
      <c r="H230" s="51"/>
      <c r="I230" s="51"/>
    </row>
    <row r="231" spans="1:9">
      <c r="A231" s="51"/>
      <c r="E231" s="51"/>
      <c r="F231" s="51"/>
      <c r="G231" s="51"/>
      <c r="H231" s="51"/>
      <c r="I231" s="51"/>
    </row>
    <row r="232" spans="1:9">
      <c r="A232" s="51"/>
      <c r="E232" s="51"/>
      <c r="F232" s="51"/>
      <c r="G232" s="51"/>
      <c r="H232" s="51"/>
      <c r="I232" s="51"/>
    </row>
    <row r="233" spans="1:9">
      <c r="A233" s="51"/>
      <c r="E233" s="51"/>
      <c r="F233" s="51"/>
      <c r="G233" s="51"/>
      <c r="H233" s="51"/>
      <c r="I233" s="51"/>
    </row>
    <row r="234" spans="1:9">
      <c r="A234" s="51"/>
      <c r="E234" s="51"/>
      <c r="F234" s="51"/>
      <c r="G234" s="51"/>
      <c r="H234" s="51"/>
      <c r="I234" s="51"/>
    </row>
    <row r="235" spans="1:9">
      <c r="A235" s="51"/>
      <c r="E235" s="51"/>
      <c r="F235" s="51"/>
      <c r="G235" s="51"/>
      <c r="H235" s="51"/>
      <c r="I235" s="51"/>
    </row>
    <row r="236" spans="1:9">
      <c r="A236" s="51"/>
      <c r="E236" s="51"/>
      <c r="F236" s="51"/>
      <c r="G236" s="51"/>
      <c r="H236" s="51"/>
      <c r="I236" s="51"/>
    </row>
    <row r="237" spans="1:9">
      <c r="A237" s="51"/>
      <c r="E237" s="51"/>
      <c r="F237" s="51"/>
      <c r="G237" s="51"/>
      <c r="H237" s="51"/>
      <c r="I237" s="51"/>
    </row>
    <row r="238" spans="1:9">
      <c r="A238" s="51"/>
      <c r="E238" s="51"/>
      <c r="F238" s="51"/>
      <c r="G238" s="51"/>
      <c r="H238" s="51"/>
      <c r="I238" s="51"/>
    </row>
    <row r="239" spans="1:9">
      <c r="A239" s="51"/>
      <c r="E239" s="51"/>
      <c r="F239" s="51"/>
      <c r="G239" s="51"/>
      <c r="H239" s="51"/>
      <c r="I239" s="51"/>
    </row>
    <row r="240" spans="1:9">
      <c r="A240" s="51"/>
      <c r="E240" s="51"/>
      <c r="F240" s="51"/>
      <c r="G240" s="51"/>
      <c r="H240" s="51"/>
      <c r="I240" s="51"/>
    </row>
    <row r="241" spans="1:9">
      <c r="A241" s="51"/>
      <c r="E241" s="51"/>
      <c r="F241" s="51"/>
      <c r="G241" s="51"/>
      <c r="H241" s="51"/>
      <c r="I241" s="51"/>
    </row>
    <row r="242" spans="1:9">
      <c r="A242" s="51"/>
      <c r="E242" s="51"/>
      <c r="F242" s="51"/>
      <c r="G242" s="51"/>
      <c r="H242" s="51"/>
      <c r="I242" s="51"/>
    </row>
    <row r="243" spans="1:9">
      <c r="A243" s="51"/>
      <c r="E243" s="51"/>
      <c r="F243" s="51"/>
      <c r="G243" s="51"/>
      <c r="H243" s="51"/>
      <c r="I243" s="51"/>
    </row>
    <row r="244" spans="1:9">
      <c r="A244" s="51"/>
      <c r="E244" s="51"/>
      <c r="F244" s="51"/>
      <c r="G244" s="51"/>
      <c r="H244" s="51"/>
      <c r="I244" s="51"/>
    </row>
    <row r="245" spans="1:9">
      <c r="A245" s="51"/>
      <c r="E245" s="51"/>
      <c r="F245" s="51"/>
      <c r="G245" s="51"/>
      <c r="H245" s="51"/>
      <c r="I245" s="51"/>
    </row>
    <row r="246" spans="1:9">
      <c r="A246" s="51"/>
      <c r="E246" s="51"/>
      <c r="F246" s="51"/>
      <c r="G246" s="51"/>
      <c r="H246" s="51"/>
      <c r="I246" s="51"/>
    </row>
    <row r="247" spans="1:9">
      <c r="A247" s="51"/>
      <c r="E247" s="51"/>
      <c r="F247" s="51"/>
      <c r="G247" s="51"/>
      <c r="H247" s="51"/>
      <c r="I247" s="51"/>
    </row>
    <row r="248" spans="1:9">
      <c r="A248" s="51"/>
      <c r="E248" s="51"/>
      <c r="F248" s="51"/>
      <c r="G248" s="51"/>
      <c r="H248" s="51"/>
      <c r="I248" s="51"/>
    </row>
    <row r="249" spans="1:9">
      <c r="A249" s="51"/>
      <c r="E249" s="51"/>
      <c r="F249" s="51"/>
      <c r="G249" s="51"/>
      <c r="H249" s="51"/>
      <c r="I249" s="51"/>
    </row>
    <row r="250" spans="1:9">
      <c r="A250" s="51"/>
      <c r="E250" s="51"/>
      <c r="F250" s="51"/>
      <c r="G250" s="51"/>
      <c r="H250" s="51"/>
      <c r="I250" s="51"/>
    </row>
    <row r="251" spans="1:9">
      <c r="A251" s="51"/>
      <c r="E251" s="51"/>
      <c r="F251" s="51"/>
      <c r="G251" s="51"/>
      <c r="H251" s="51"/>
      <c r="I251" s="51"/>
    </row>
    <row r="252" spans="1:9">
      <c r="A252" s="51"/>
      <c r="E252" s="51"/>
      <c r="F252" s="51"/>
      <c r="G252" s="51"/>
      <c r="H252" s="51"/>
      <c r="I252" s="51"/>
    </row>
    <row r="253" spans="1:9">
      <c r="A253" s="51"/>
      <c r="E253" s="51"/>
      <c r="F253" s="51"/>
      <c r="G253" s="51"/>
      <c r="H253" s="51"/>
      <c r="I253" s="51"/>
    </row>
    <row r="254" spans="1:9">
      <c r="A254" s="51"/>
      <c r="E254" s="51"/>
      <c r="F254" s="51"/>
      <c r="G254" s="51"/>
      <c r="H254" s="51"/>
      <c r="I254" s="51"/>
    </row>
    <row r="255" spans="1:9">
      <c r="A255" s="51"/>
      <c r="E255" s="51"/>
      <c r="F255" s="51"/>
      <c r="G255" s="51"/>
      <c r="H255" s="51"/>
      <c r="I255" s="51"/>
    </row>
    <row r="256" spans="1:9">
      <c r="A256" s="51"/>
      <c r="E256" s="51"/>
      <c r="F256" s="51"/>
      <c r="G256" s="51"/>
      <c r="H256" s="51"/>
      <c r="I256" s="51"/>
    </row>
    <row r="257" spans="1:9">
      <c r="A257" s="51"/>
      <c r="E257" s="51"/>
      <c r="F257" s="51"/>
      <c r="G257" s="51"/>
      <c r="H257" s="51"/>
      <c r="I257" s="51"/>
    </row>
    <row r="258" spans="1:9">
      <c r="A258" s="51"/>
      <c r="E258" s="51"/>
      <c r="F258" s="51"/>
      <c r="G258" s="51"/>
      <c r="H258" s="51"/>
      <c r="I258" s="51"/>
    </row>
    <row r="259" spans="1:9">
      <c r="A259" s="51"/>
      <c r="E259" s="51"/>
      <c r="F259" s="51"/>
      <c r="G259" s="51"/>
      <c r="H259" s="51"/>
      <c r="I259" s="51"/>
    </row>
    <row r="260" spans="1:9">
      <c r="A260" s="51"/>
      <c r="E260" s="51"/>
      <c r="F260" s="51"/>
      <c r="G260" s="51"/>
      <c r="H260" s="51"/>
      <c r="I260" s="51"/>
    </row>
    <row r="261" spans="1:9">
      <c r="A261" s="51"/>
      <c r="E261" s="51"/>
      <c r="F261" s="51"/>
      <c r="G261" s="51"/>
      <c r="H261" s="51"/>
      <c r="I261" s="5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3C7A-DE9B-4543-B545-92E5BC707ABE}">
  <dimension ref="A1"/>
  <sheetViews>
    <sheetView topLeftCell="A4" workbookViewId="0">
      <selection activeCell="R43" sqref="R43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1B3A-D12D-4C61-AE09-85E25C5A2F8C}">
  <dimension ref="B2:D17"/>
  <sheetViews>
    <sheetView workbookViewId="0">
      <selection activeCell="D3" sqref="D3"/>
    </sheetView>
  </sheetViews>
  <sheetFormatPr defaultRowHeight="15"/>
  <cols>
    <col min="1" max="2" width="9.5703125" style="51" bestFit="1" customWidth="1"/>
    <col min="3" max="16384" width="9.140625" style="51"/>
  </cols>
  <sheetData>
    <row r="2" spans="2:4">
      <c r="B2" s="51" t="s">
        <v>498</v>
      </c>
      <c r="C2" s="51" t="s">
        <v>499</v>
      </c>
      <c r="D2" s="51" t="s">
        <v>500</v>
      </c>
    </row>
    <row r="3" spans="2:4">
      <c r="B3" s="51">
        <v>101</v>
      </c>
      <c r="C3" s="51">
        <f>B3-100</f>
        <v>1</v>
      </c>
      <c r="D3" s="51">
        <f>C3*10</f>
        <v>10</v>
      </c>
    </row>
    <row r="4" spans="2:4">
      <c r="B4" s="51">
        <v>102</v>
      </c>
      <c r="C4" s="51">
        <f t="shared" ref="C4:C17" si="0">B4-100</f>
        <v>2</v>
      </c>
      <c r="D4" s="51">
        <f t="shared" ref="D4:D17" si="1">C4*10</f>
        <v>20</v>
      </c>
    </row>
    <row r="5" spans="2:4">
      <c r="B5" s="51">
        <v>103</v>
      </c>
      <c r="C5" s="51">
        <f t="shared" si="0"/>
        <v>3</v>
      </c>
      <c r="D5" s="51">
        <f t="shared" si="1"/>
        <v>30</v>
      </c>
    </row>
    <row r="6" spans="2:4">
      <c r="B6" s="51">
        <v>104</v>
      </c>
      <c r="C6" s="51">
        <f t="shared" si="0"/>
        <v>4</v>
      </c>
      <c r="D6" s="51">
        <f t="shared" si="1"/>
        <v>40</v>
      </c>
    </row>
    <row r="7" spans="2:4">
      <c r="B7" s="51">
        <v>105</v>
      </c>
      <c r="C7" s="51">
        <f t="shared" si="0"/>
        <v>5</v>
      </c>
      <c r="D7" s="51">
        <f t="shared" si="1"/>
        <v>50</v>
      </c>
    </row>
    <row r="8" spans="2:4">
      <c r="B8" s="51">
        <v>106</v>
      </c>
      <c r="C8" s="51">
        <f t="shared" si="0"/>
        <v>6</v>
      </c>
      <c r="D8" s="51">
        <f t="shared" si="1"/>
        <v>60</v>
      </c>
    </row>
    <row r="9" spans="2:4">
      <c r="B9" s="51">
        <v>107</v>
      </c>
      <c r="C9" s="51">
        <f t="shared" si="0"/>
        <v>7</v>
      </c>
      <c r="D9" s="51">
        <f t="shared" si="1"/>
        <v>70</v>
      </c>
    </row>
    <row r="10" spans="2:4">
      <c r="B10" s="51">
        <v>108</v>
      </c>
      <c r="C10" s="51">
        <f t="shared" si="0"/>
        <v>8</v>
      </c>
      <c r="D10" s="51">
        <f t="shared" si="1"/>
        <v>80</v>
      </c>
    </row>
    <row r="11" spans="2:4">
      <c r="B11" s="51">
        <v>109</v>
      </c>
      <c r="C11" s="51">
        <f t="shared" si="0"/>
        <v>9</v>
      </c>
      <c r="D11" s="51">
        <f t="shared" si="1"/>
        <v>90</v>
      </c>
    </row>
    <row r="12" spans="2:4">
      <c r="B12" s="51">
        <v>110</v>
      </c>
      <c r="C12" s="51">
        <f t="shared" si="0"/>
        <v>10</v>
      </c>
      <c r="D12" s="51">
        <f t="shared" si="1"/>
        <v>100</v>
      </c>
    </row>
    <row r="13" spans="2:4">
      <c r="B13" s="51">
        <v>111</v>
      </c>
      <c r="C13" s="51">
        <f t="shared" si="0"/>
        <v>11</v>
      </c>
      <c r="D13" s="51">
        <f t="shared" si="1"/>
        <v>110</v>
      </c>
    </row>
    <row r="14" spans="2:4">
      <c r="B14" s="51">
        <v>112</v>
      </c>
      <c r="C14" s="51">
        <f t="shared" si="0"/>
        <v>12</v>
      </c>
      <c r="D14" s="51">
        <f t="shared" si="1"/>
        <v>120</v>
      </c>
    </row>
    <row r="15" spans="2:4">
      <c r="B15" s="51">
        <v>113</v>
      </c>
      <c r="C15" s="51">
        <f t="shared" si="0"/>
        <v>13</v>
      </c>
      <c r="D15" s="51">
        <f t="shared" si="1"/>
        <v>130</v>
      </c>
    </row>
    <row r="16" spans="2:4">
      <c r="B16" s="51">
        <v>114</v>
      </c>
      <c r="C16" s="51">
        <f t="shared" si="0"/>
        <v>14</v>
      </c>
      <c r="D16" s="51">
        <f t="shared" si="1"/>
        <v>140</v>
      </c>
    </row>
    <row r="17" spans="2:4">
      <c r="B17" s="51">
        <v>115</v>
      </c>
      <c r="C17" s="51">
        <f t="shared" si="0"/>
        <v>15</v>
      </c>
      <c r="D17" s="51">
        <f t="shared" si="1"/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Network diagram</vt:lpstr>
      <vt:lpstr>Interface device list</vt:lpstr>
      <vt:lpstr>ALARM CODE</vt:lpstr>
      <vt:lpstr>Sheet3</vt:lpstr>
      <vt:lpstr>Device of Use </vt:lpstr>
      <vt:lpstr>Sheet1</vt:lpstr>
      <vt:lpstr>Sheet2</vt:lpstr>
      <vt:lpstr>'Interface device list'!Print_Area</vt:lpstr>
      <vt:lpstr>'Network diagram'!Print_Area</vt:lpstr>
      <vt:lpstr>'Interface device list'!Print_Titles</vt:lpstr>
      <vt:lpstr>'Network diagram'!Print_Titles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66857</dc:creator>
  <cp:keywords/>
  <dc:description/>
  <cp:lastModifiedBy>Pharadorn Kumwong</cp:lastModifiedBy>
  <cp:revision/>
  <dcterms:created xsi:type="dcterms:W3CDTF">2022-01-03T00:11:50Z</dcterms:created>
  <dcterms:modified xsi:type="dcterms:W3CDTF">2025-02-21T04:45:51Z</dcterms:modified>
  <cp:category/>
  <cp:contentStatus/>
</cp:coreProperties>
</file>